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0DB5F418-1BDF-49D8-9DC3-86EFE93EA3EA}" xr6:coauthVersionLast="47" xr6:coauthVersionMax="47" xr10:uidLastSave="{00000000-0000-0000-0000-000000000000}"/>
  <bookViews>
    <workbookView xWindow="1470" yWindow="997" windowWidth="10260" windowHeight="12683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9" i="1"/>
  <c r="E60" i="1"/>
  <c r="E61" i="1"/>
  <c r="E62" i="1"/>
  <c r="E54" i="1"/>
  <c r="E55" i="1"/>
  <c r="E56" i="1"/>
  <c r="E42" i="1"/>
  <c r="E43" i="1"/>
  <c r="E44" i="1"/>
  <c r="E45" i="1"/>
  <c r="E46" i="1"/>
  <c r="E47" i="1"/>
  <c r="E48" i="1"/>
  <c r="E49" i="1"/>
  <c r="E50" i="1"/>
  <c r="E51" i="1"/>
  <c r="E38" i="1"/>
  <c r="E39" i="1"/>
  <c r="E40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8" i="1"/>
  <c r="E9" i="1"/>
  <c r="E10" i="1"/>
  <c r="E11" i="1"/>
  <c r="E12" i="1"/>
  <c r="E4" i="1"/>
  <c r="E5" i="1"/>
  <c r="E6" i="1"/>
  <c r="E2" i="1"/>
</calcChain>
</file>

<file path=xl/sharedStrings.xml><?xml version="1.0" encoding="utf-8"?>
<sst xmlns="http://schemas.openxmlformats.org/spreadsheetml/2006/main" count="765" uniqueCount="624">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</sst>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06B0F-DE35-4A29-A6C5-1731ACDA408F}" name="テーブル1" displayName="テーブル1" ref="A1:F94" totalsRowShown="0" headerRowDxfId="14" dataDxfId="13">
  <autoFilter ref="A1:F94" xr:uid="{51F06B0F-DE35-4A29-A6C5-1731ACDA408F}"/>
  <tableColumns count="6">
    <tableColumn id="1" xr3:uid="{CAF1003D-BF09-4722-A9B8-EC2B092ADF3F}" name="名称" dataDxfId="12"/>
    <tableColumn id="2" xr3:uid="{8C6779F6-FE2A-4167-A86A-01365800C910}" name="電話" dataDxfId="11"/>
    <tableColumn id="3" xr3:uid="{4C7FD9EE-45ED-46F7-B5DF-9EB36AB517DD}" name="FAX・_x000a_メールアドレス" dataDxfId="10"/>
    <tableColumn id="4" xr3:uid="{7FCE5A89-303B-4D17-904B-452943C3CC26}" name="休日・夜間の_x000a_連絡先" dataDxfId="9"/>
    <tableColumn id="5" xr3:uid="{F3974CF3-D6E8-4EF5-8860-0918923B5AF9}" name="所在地" dataDxfId="8"/>
    <tableColumn id="6" xr3:uid="{09300B0C-97BC-456A-A2E1-E3CB3AFEF185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17C8C-D59D-4F14-9FC5-539FA1CD4495}" name="テーブル2" displayName="テーブル2" ref="A1:E63" totalsRowShown="0" headerRowDxfId="1" dataDxfId="0">
  <autoFilter ref="A1:E63" xr:uid="{08117C8C-D59D-4F14-9FC5-539FA1CD4495}"/>
  <tableColumns count="5">
    <tableColumn id="1" xr3:uid="{3508F999-D601-4FD3-A12A-25F463FAC39A}" name="名称" dataDxfId="6"/>
    <tableColumn id="2" xr3:uid="{D2C1ED54-28D0-44A2-B52B-77B21F56F9A1}" name="電話" dataDxfId="5"/>
    <tableColumn id="3" xr3:uid="{A01B4055-C455-4CE8-8171-88718C1AB7B4}" name="FAX・_x000a_メールアドレス" dataDxfId="4"/>
    <tableColumn id="4" xr3:uid="{4E66868F-8FAA-48C3-8C41-A141635DD200}" name="所在地" dataDxfId="3"/>
    <tableColumn id="5" xr3:uid="{4DA9D146-304B-4B06-A2E0-7F27C3BC694B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sections/syogai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kutama.tokyo.jp/1/fukushihokenka/yakubashokai/485.html" TargetMode="External"/><Relationship Id="rId89" Type="http://schemas.openxmlformats.org/officeDocument/2006/relationships/hyperlink" Target="https://www.vill.miyake.tokyo.jp/kakuka/sonminseikatsu/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enko/soudan/madoguchi/1002459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akiruno.tokyo.jp/soshiki/5-2-0-0-0_7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vill.mikurasima.tokyo.jp/" TargetMode="External"/><Relationship Id="rId22" Type="http://schemas.openxmlformats.org/officeDocument/2006/relationships/hyperlink" Target="https://www.city.kita.lg.jp/socialcare-health/disabilities/1008744/100877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city.nishitokyo.lg.jp/siseizyoho/sosiki/fukushi/f_syougai.html" TargetMode="External"/><Relationship Id="rId85" Type="http://schemas.openxmlformats.org/officeDocument/2006/relationships/hyperlink" Target="https://www.town.oshima.tokyo.jp/soshiki/kenkou/" TargetMode="External"/><Relationship Id="rId93" Type="http://schemas.openxmlformats.org/officeDocument/2006/relationships/hyperlink" Target="https://www.vill.ogasawara.tokyo.jp/sonmin/" TargetMode="Externa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sodan/shougai/gyakutai-kara-mamoru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enko/shogai/1053540.html" TargetMode="External"/><Relationship Id="rId33" Type="http://schemas.openxmlformats.org/officeDocument/2006/relationships/hyperlink" Target="https://www.city.itabashi.tokyo.jp/kenko/soudan/madoguchi/1002459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asuha.or.jp/pages/81/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vill.hinohara.tokyo.jp/soshiki/4-1-0-0-0_5.html" TargetMode="External"/><Relationship Id="rId88" Type="http://schemas.openxmlformats.org/officeDocument/2006/relationships/hyperlink" Target="https://www.vill.kouzushima.tokyo.jp/busyo/fukushi/" TargetMode="External"/><Relationship Id="rId91" Type="http://schemas.openxmlformats.org/officeDocument/2006/relationships/hyperlink" Target="https://www.town.hachijo.tokyo.jp/chousei/shinseisho/kenkou-iryou-s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tmcomac.wixsite.com/taitotmcom/%E6%94%AF%E6%8F%B4%E3%82%BB%E3%83%B3%E3%82%BF%E3%83%BC%E3%81%82%E3%81%95%E3%81%8C%E3%81%8A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enko/soudan/kokoro/1002489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mizuho.tokyo.jp/dept/130000/130100/130102/index.html" TargetMode="External"/><Relationship Id="rId86" Type="http://schemas.openxmlformats.org/officeDocument/2006/relationships/hyperlink" Target="https://www.toshimamura.org/life/procedure/notification.html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://www.care-net.biz/13/seihoukai-hourai/c04.php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aogashima.tokyo.jp/contact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enko/soudan/kokoro/1002489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niijima.com/soshiki/minseika/index.html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town.hinode.tokyo.jp/soshiki/26-2-0-0-0_2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enko/soudan/madoguchi/1002459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184</v>
      </c>
      <c r="B26" s="2" t="s">
        <v>185</v>
      </c>
      <c r="C26" s="2" t="s">
        <v>186</v>
      </c>
      <c r="D26" s="2"/>
      <c r="E26" s="2" t="s">
        <v>121</v>
      </c>
      <c r="F26" s="3" t="s">
        <v>97</v>
      </c>
    </row>
    <row r="27" spans="1:6" ht="52.9">
      <c r="A27" s="2" t="s">
        <v>187</v>
      </c>
      <c r="B27" s="2" t="s">
        <v>188</v>
      </c>
      <c r="C27" s="2"/>
      <c r="D27" s="2"/>
      <c r="E27" s="2" t="s">
        <v>121</v>
      </c>
      <c r="F27" s="3" t="s">
        <v>97</v>
      </c>
    </row>
    <row r="28" spans="1:6" ht="52.9">
      <c r="A28" s="2" t="s">
        <v>189</v>
      </c>
      <c r="B28" s="2" t="s">
        <v>190</v>
      </c>
      <c r="C28" s="2"/>
      <c r="D28" s="2"/>
      <c r="E28" s="2" t="s">
        <v>122</v>
      </c>
      <c r="F28" s="3" t="s">
        <v>97</v>
      </c>
    </row>
    <row r="29" spans="1:6" ht="52.9">
      <c r="A29" s="2" t="s">
        <v>191</v>
      </c>
      <c r="B29" s="2" t="s">
        <v>192</v>
      </c>
      <c r="C29" s="2"/>
      <c r="D29" s="2"/>
      <c r="E29" s="2" t="s">
        <v>123</v>
      </c>
      <c r="F29" s="3" t="s">
        <v>97</v>
      </c>
    </row>
    <row r="30" spans="1:6" ht="35.25">
      <c r="A30" s="2" t="s">
        <v>193</v>
      </c>
      <c r="B30" s="2" t="s">
        <v>194</v>
      </c>
      <c r="C30" s="2"/>
      <c r="D30" s="2"/>
      <c r="E30" s="2" t="s">
        <v>124</v>
      </c>
      <c r="F30" s="3" t="s">
        <v>97</v>
      </c>
    </row>
    <row r="31" spans="1:6" ht="35.25">
      <c r="A31" s="2" t="s">
        <v>195</v>
      </c>
      <c r="B31" s="2" t="s">
        <v>196</v>
      </c>
      <c r="C31" s="2"/>
      <c r="D31" s="2"/>
      <c r="E31" s="2" t="s">
        <v>125</v>
      </c>
      <c r="F31" s="3" t="s">
        <v>97</v>
      </c>
    </row>
    <row r="32" spans="1:6" ht="35.25">
      <c r="A32" s="2" t="s">
        <v>197</v>
      </c>
      <c r="B32" s="2" t="s">
        <v>198</v>
      </c>
      <c r="C32" s="2"/>
      <c r="D32" s="2"/>
      <c r="E32" s="2" t="s">
        <v>122</v>
      </c>
      <c r="F32" s="3" t="s">
        <v>97</v>
      </c>
    </row>
    <row r="33" spans="1:6" ht="35.25">
      <c r="A33" s="2" t="s">
        <v>199</v>
      </c>
      <c r="B33" s="2" t="s">
        <v>200</v>
      </c>
      <c r="C33" s="2"/>
      <c r="D33" s="2"/>
      <c r="E33" s="2" t="s">
        <v>123</v>
      </c>
      <c r="F33" s="3" t="s">
        <v>97</v>
      </c>
    </row>
    <row r="34" spans="1:6" ht="35.25">
      <c r="A34" s="2" t="s">
        <v>201</v>
      </c>
      <c r="B34" s="2" t="s">
        <v>202</v>
      </c>
      <c r="C34" s="2"/>
      <c r="D34" s="2"/>
      <c r="E34" s="2" t="s">
        <v>126</v>
      </c>
      <c r="F34" s="3" t="s">
        <v>97</v>
      </c>
    </row>
    <row r="35" spans="1:6" ht="70.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127</v>
      </c>
      <c r="F35" s="3" t="s">
        <v>97</v>
      </c>
    </row>
    <row r="36" spans="1:6" ht="52.9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128</v>
      </c>
      <c r="F36" s="3" t="s">
        <v>97</v>
      </c>
    </row>
    <row r="37" spans="1:6" ht="52.9">
      <c r="A37" s="2" t="s">
        <v>211</v>
      </c>
      <c r="B37" s="2" t="s">
        <v>212</v>
      </c>
      <c r="C37" s="2" t="s">
        <v>209</v>
      </c>
      <c r="D37" s="2" t="s">
        <v>210</v>
      </c>
      <c r="E37" s="2" t="s">
        <v>128</v>
      </c>
      <c r="F37" s="3" t="s">
        <v>97</v>
      </c>
    </row>
    <row r="38" spans="1:6" ht="35.25">
      <c r="A38" s="2" t="s">
        <v>213</v>
      </c>
      <c r="B38" s="2" t="s">
        <v>214</v>
      </c>
      <c r="C38" s="2" t="s">
        <v>215</v>
      </c>
      <c r="D38" s="2" t="s">
        <v>210</v>
      </c>
      <c r="E38" s="2" t="s">
        <v>129</v>
      </c>
      <c r="F38" s="3" t="s">
        <v>97</v>
      </c>
    </row>
    <row r="39" spans="1:6" ht="52.9">
      <c r="A39" s="2" t="s">
        <v>216</v>
      </c>
      <c r="B39" s="2" t="s">
        <v>217</v>
      </c>
      <c r="C39" s="2" t="s">
        <v>209</v>
      </c>
      <c r="D39" s="2" t="s">
        <v>210</v>
      </c>
      <c r="E39" s="2" t="s">
        <v>128</v>
      </c>
      <c r="F39" s="3" t="s">
        <v>97</v>
      </c>
    </row>
    <row r="40" spans="1:6" ht="52.9">
      <c r="A40" s="2" t="s">
        <v>218</v>
      </c>
      <c r="B40" s="2" t="s">
        <v>219</v>
      </c>
      <c r="C40" s="2" t="s">
        <v>209</v>
      </c>
      <c r="D40" s="2" t="s">
        <v>210</v>
      </c>
      <c r="E40" s="2" t="s">
        <v>128</v>
      </c>
      <c r="F40" s="3" t="s">
        <v>97</v>
      </c>
    </row>
    <row r="41" spans="1:6" ht="52.9">
      <c r="A41" s="2" t="s">
        <v>220</v>
      </c>
      <c r="B41" s="2" t="s">
        <v>221</v>
      </c>
      <c r="C41" s="2" t="s">
        <v>222</v>
      </c>
      <c r="D41" s="2" t="s">
        <v>210</v>
      </c>
      <c r="E41" s="2" t="s">
        <v>130</v>
      </c>
      <c r="F41" s="3" t="s">
        <v>97</v>
      </c>
    </row>
    <row r="42" spans="1:6" ht="52.9">
      <c r="A42" s="2" t="s">
        <v>223</v>
      </c>
      <c r="B42" s="2" t="s">
        <v>224</v>
      </c>
      <c r="C42" s="2" t="s">
        <v>225</v>
      </c>
      <c r="D42" s="2" t="s">
        <v>210</v>
      </c>
      <c r="E42" s="2" t="s">
        <v>131</v>
      </c>
      <c r="F42" s="3" t="s">
        <v>97</v>
      </c>
    </row>
    <row r="43" spans="1:6" ht="52.9">
      <c r="A43" s="2" t="s">
        <v>226</v>
      </c>
      <c r="B43" s="2" t="s">
        <v>227</v>
      </c>
      <c r="C43" s="2" t="s">
        <v>228</v>
      </c>
      <c r="D43" s="2" t="s">
        <v>210</v>
      </c>
      <c r="E43" s="2" t="s">
        <v>132</v>
      </c>
      <c r="F43" s="3" t="s">
        <v>97</v>
      </c>
    </row>
    <row r="44" spans="1:6" ht="52.9">
      <c r="A44" s="2" t="s">
        <v>229</v>
      </c>
      <c r="B44" s="2" t="s">
        <v>230</v>
      </c>
      <c r="C44" s="2" t="s">
        <v>231</v>
      </c>
      <c r="D44" s="2" t="s">
        <v>210</v>
      </c>
      <c r="E44" s="2" t="s">
        <v>133</v>
      </c>
      <c r="F44" s="3" t="s">
        <v>97</v>
      </c>
    </row>
    <row r="45" spans="1:6" ht="52.9">
      <c r="A45" s="2" t="s">
        <v>232</v>
      </c>
      <c r="B45" s="2" t="s">
        <v>233</v>
      </c>
      <c r="C45" s="2" t="s">
        <v>234</v>
      </c>
      <c r="D45" s="2" t="s">
        <v>210</v>
      </c>
      <c r="E45" s="2" t="s">
        <v>134</v>
      </c>
      <c r="F45" s="3" t="s">
        <v>97</v>
      </c>
    </row>
    <row r="46" spans="1:6" ht="70.5">
      <c r="A46" s="2" t="s">
        <v>235</v>
      </c>
      <c r="B46" s="2" t="s">
        <v>236</v>
      </c>
      <c r="C46" s="2" t="s">
        <v>237</v>
      </c>
      <c r="D46" s="2" t="s">
        <v>210</v>
      </c>
      <c r="E46" s="2" t="s">
        <v>135</v>
      </c>
      <c r="F46" s="3" t="s">
        <v>97</v>
      </c>
    </row>
    <row r="47" spans="1:6" ht="35.25">
      <c r="A47" s="2" t="s">
        <v>238</v>
      </c>
      <c r="B47" s="2" t="s">
        <v>239</v>
      </c>
      <c r="C47" s="2" t="s">
        <v>240</v>
      </c>
      <c r="D47" s="2" t="s">
        <v>210</v>
      </c>
      <c r="E47" s="2" t="s">
        <v>136</v>
      </c>
      <c r="F47" s="3" t="s">
        <v>97</v>
      </c>
    </row>
    <row r="48" spans="1:6" ht="35.25">
      <c r="A48" s="2" t="s">
        <v>241</v>
      </c>
      <c r="B48" s="2" t="s">
        <v>242</v>
      </c>
      <c r="C48" s="2" t="s">
        <v>243</v>
      </c>
      <c r="D48" s="2" t="s">
        <v>210</v>
      </c>
      <c r="E48" s="2" t="s">
        <v>137</v>
      </c>
      <c r="F48" s="3" t="s">
        <v>97</v>
      </c>
    </row>
    <row r="49" spans="1:6" ht="35.25">
      <c r="A49" s="2" t="s">
        <v>244</v>
      </c>
      <c r="B49" s="2" t="s">
        <v>245</v>
      </c>
      <c r="C49" s="2" t="s">
        <v>246</v>
      </c>
      <c r="D49" s="2" t="s">
        <v>210</v>
      </c>
      <c r="E49" s="2" t="s">
        <v>138</v>
      </c>
      <c r="F49" s="3" t="s">
        <v>97</v>
      </c>
    </row>
    <row r="50" spans="1:6" ht="35.2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139</v>
      </c>
      <c r="F50" s="3" t="s">
        <v>97</v>
      </c>
    </row>
    <row r="51" spans="1:6" ht="35.2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140</v>
      </c>
      <c r="F51" s="3" t="s">
        <v>97</v>
      </c>
    </row>
    <row r="52" spans="1:6" ht="52.9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141</v>
      </c>
      <c r="F52" s="3" t="s">
        <v>97</v>
      </c>
    </row>
    <row r="53" spans="1:6" ht="70.5">
      <c r="A53" s="2" t="s">
        <v>259</v>
      </c>
      <c r="B53" s="2" t="s">
        <v>260</v>
      </c>
      <c r="C53" s="2" t="s">
        <v>261</v>
      </c>
      <c r="D53" s="2" t="s">
        <v>260</v>
      </c>
      <c r="E53" s="2" t="s">
        <v>142</v>
      </c>
      <c r="F53" s="3" t="s">
        <v>97</v>
      </c>
    </row>
    <row r="54" spans="1:6" ht="35.25">
      <c r="A54" s="2" t="s">
        <v>262</v>
      </c>
      <c r="B54" s="2" t="s">
        <v>263</v>
      </c>
      <c r="C54" s="2" t="s">
        <v>264</v>
      </c>
      <c r="D54" s="2"/>
      <c r="E54" s="2" t="s">
        <v>143</v>
      </c>
      <c r="F54" s="3" t="s">
        <v>97</v>
      </c>
    </row>
    <row r="55" spans="1:6" ht="70.5">
      <c r="A55" s="2" t="s">
        <v>265</v>
      </c>
      <c r="B55" s="2" t="s">
        <v>266</v>
      </c>
      <c r="C55" s="2" t="s">
        <v>267</v>
      </c>
      <c r="D55" s="2" t="s">
        <v>266</v>
      </c>
      <c r="E55" s="2" t="s">
        <v>144</v>
      </c>
      <c r="F55" s="3" t="s">
        <v>97</v>
      </c>
    </row>
    <row r="56" spans="1:6" ht="52.9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145</v>
      </c>
      <c r="F56" s="3" t="s">
        <v>97</v>
      </c>
    </row>
    <row r="57" spans="1:6" ht="52.9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146</v>
      </c>
      <c r="F57" s="3" t="s">
        <v>97</v>
      </c>
    </row>
    <row r="58" spans="1:6" ht="35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147</v>
      </c>
      <c r="F58" s="3" t="s">
        <v>97</v>
      </c>
    </row>
    <row r="59" spans="1:6" ht="52.9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148</v>
      </c>
      <c r="F59" s="3" t="s">
        <v>97</v>
      </c>
    </row>
    <row r="60" spans="1:6" ht="70.5">
      <c r="A60" s="2" t="s">
        <v>284</v>
      </c>
      <c r="B60" s="2" t="s">
        <v>285</v>
      </c>
      <c r="C60" s="2" t="s">
        <v>286</v>
      </c>
      <c r="D60" s="2" t="s">
        <v>285</v>
      </c>
      <c r="E60" s="2" t="s">
        <v>149</v>
      </c>
      <c r="F60" s="3" t="s">
        <v>97</v>
      </c>
    </row>
    <row r="61" spans="1:6" ht="35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150</v>
      </c>
      <c r="F61" s="3" t="s">
        <v>97</v>
      </c>
    </row>
    <row r="62" spans="1:6" ht="52.9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151</v>
      </c>
      <c r="F62" s="3" t="s">
        <v>97</v>
      </c>
    </row>
    <row r="63" spans="1:6" ht="35.25">
      <c r="A63" s="2" t="s">
        <v>295</v>
      </c>
      <c r="B63" s="2" t="s">
        <v>296</v>
      </c>
      <c r="C63" s="2" t="s">
        <v>297</v>
      </c>
      <c r="D63" s="2" t="s">
        <v>296</v>
      </c>
      <c r="E63" s="2" t="s">
        <v>152</v>
      </c>
      <c r="F63" s="3" t="s">
        <v>97</v>
      </c>
    </row>
    <row r="64" spans="1:6" ht="70.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153</v>
      </c>
      <c r="F64" s="3" t="s">
        <v>97</v>
      </c>
    </row>
    <row r="65" spans="1:6" ht="35.25">
      <c r="A65" s="2" t="s">
        <v>302</v>
      </c>
      <c r="B65" s="2" t="s">
        <v>303</v>
      </c>
      <c r="C65" s="2" t="s">
        <v>304</v>
      </c>
      <c r="D65" s="2" t="s">
        <v>305</v>
      </c>
      <c r="E65" s="2" t="s">
        <v>154</v>
      </c>
      <c r="F65" s="3" t="s">
        <v>97</v>
      </c>
    </row>
    <row r="66" spans="1:6" ht="52.9">
      <c r="A66" s="2" t="s">
        <v>306</v>
      </c>
      <c r="B66" s="2" t="s">
        <v>307</v>
      </c>
      <c r="C66" s="2" t="s">
        <v>308</v>
      </c>
      <c r="D66" s="2" t="s">
        <v>307</v>
      </c>
      <c r="E66" s="2" t="s">
        <v>155</v>
      </c>
      <c r="F66" s="3" t="s">
        <v>97</v>
      </c>
    </row>
    <row r="67" spans="1:6" ht="35.25">
      <c r="A67" s="2" t="s">
        <v>309</v>
      </c>
      <c r="B67" s="2" t="s">
        <v>310</v>
      </c>
      <c r="C67" s="2" t="s">
        <v>311</v>
      </c>
      <c r="D67" s="2" t="s">
        <v>307</v>
      </c>
      <c r="E67" s="2" t="s">
        <v>156</v>
      </c>
      <c r="F67" s="3" t="s">
        <v>97</v>
      </c>
    </row>
    <row r="68" spans="1:6" ht="52.9">
      <c r="A68" s="2" t="s">
        <v>312</v>
      </c>
      <c r="B68" s="2" t="s">
        <v>313</v>
      </c>
      <c r="C68" s="2" t="s">
        <v>314</v>
      </c>
      <c r="D68" s="2" t="s">
        <v>315</v>
      </c>
      <c r="E68" s="2" t="s">
        <v>157</v>
      </c>
      <c r="F68" s="3" t="s">
        <v>97</v>
      </c>
    </row>
    <row r="69" spans="1:6" ht="52.9">
      <c r="A69" s="2" t="s">
        <v>316</v>
      </c>
      <c r="B69" s="2" t="s">
        <v>317</v>
      </c>
      <c r="C69" s="2" t="s">
        <v>318</v>
      </c>
      <c r="D69" s="2" t="s">
        <v>319</v>
      </c>
      <c r="E69" s="2" t="s">
        <v>158</v>
      </c>
      <c r="F69" s="3" t="s">
        <v>97</v>
      </c>
    </row>
    <row r="70" spans="1:6" ht="35.25">
      <c r="A70" s="2" t="s">
        <v>320</v>
      </c>
      <c r="B70" s="2" t="s">
        <v>321</v>
      </c>
      <c r="C70" s="2" t="s">
        <v>322</v>
      </c>
      <c r="D70" s="2" t="s">
        <v>323</v>
      </c>
      <c r="E70" s="2" t="s">
        <v>159</v>
      </c>
      <c r="F70" s="3" t="s">
        <v>97</v>
      </c>
    </row>
    <row r="71" spans="1:6" ht="70.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160</v>
      </c>
      <c r="F71" s="3" t="s">
        <v>97</v>
      </c>
    </row>
    <row r="72" spans="1:6" ht="52.9">
      <c r="A72" s="2" t="s">
        <v>328</v>
      </c>
      <c r="B72" s="2" t="s">
        <v>329</v>
      </c>
      <c r="C72" s="2" t="s">
        <v>330</v>
      </c>
      <c r="D72" s="2" t="s">
        <v>329</v>
      </c>
      <c r="E72" s="2" t="s">
        <v>161</v>
      </c>
      <c r="F72" s="3" t="s">
        <v>97</v>
      </c>
    </row>
    <row r="73" spans="1:6" ht="35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162</v>
      </c>
      <c r="F73" s="3" t="s">
        <v>97</v>
      </c>
    </row>
    <row r="74" spans="1:6" ht="52.9">
      <c r="A74" s="2" t="s">
        <v>335</v>
      </c>
      <c r="B74" s="2" t="s">
        <v>336</v>
      </c>
      <c r="C74" s="2" t="s">
        <v>337</v>
      </c>
      <c r="D74" s="2" t="s">
        <v>338</v>
      </c>
      <c r="E74" s="2" t="s">
        <v>163</v>
      </c>
      <c r="F74" s="3" t="s">
        <v>97</v>
      </c>
    </row>
    <row r="75" spans="1:6" ht="52.9">
      <c r="A75" s="2" t="s">
        <v>339</v>
      </c>
      <c r="B75" s="2" t="s">
        <v>340</v>
      </c>
      <c r="C75" s="2" t="s">
        <v>341</v>
      </c>
      <c r="D75" s="2" t="s">
        <v>342</v>
      </c>
      <c r="E75" s="2" t="s">
        <v>164</v>
      </c>
      <c r="F75" s="3" t="s">
        <v>97</v>
      </c>
    </row>
    <row r="76" spans="1:6" ht="35.25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165</v>
      </c>
      <c r="F76" s="3" t="s">
        <v>97</v>
      </c>
    </row>
    <row r="77" spans="1:6" ht="52.9">
      <c r="A77" s="2" t="s">
        <v>347</v>
      </c>
      <c r="B77" s="2" t="s">
        <v>348</v>
      </c>
      <c r="C77" s="2" t="s">
        <v>349</v>
      </c>
      <c r="D77" s="2" t="s">
        <v>350</v>
      </c>
      <c r="E77" s="2" t="s">
        <v>166</v>
      </c>
      <c r="F77" s="3" t="s">
        <v>97</v>
      </c>
    </row>
    <row r="78" spans="1:6" ht="52.9">
      <c r="A78" s="2" t="s">
        <v>351</v>
      </c>
      <c r="B78" s="2" t="s">
        <v>352</v>
      </c>
      <c r="C78" s="2" t="s">
        <v>353</v>
      </c>
      <c r="D78" s="2" t="s">
        <v>354</v>
      </c>
      <c r="E78" s="2" t="s">
        <v>167</v>
      </c>
      <c r="F78" s="3" t="s">
        <v>97</v>
      </c>
    </row>
    <row r="79" spans="1:6" ht="52.9">
      <c r="A79" s="2" t="s">
        <v>355</v>
      </c>
      <c r="B79" s="2" t="s">
        <v>356</v>
      </c>
      <c r="C79" s="2" t="s">
        <v>357</v>
      </c>
      <c r="D79" s="2" t="s">
        <v>358</v>
      </c>
      <c r="E79" s="2" t="s">
        <v>168</v>
      </c>
      <c r="F79" s="3" t="s">
        <v>97</v>
      </c>
    </row>
    <row r="80" spans="1:6" ht="35.25">
      <c r="A80" s="2" t="s">
        <v>359</v>
      </c>
      <c r="B80" s="2" t="s">
        <v>360</v>
      </c>
      <c r="C80" s="2" t="s">
        <v>361</v>
      </c>
      <c r="D80" s="2"/>
      <c r="E80" s="2" t="s">
        <v>169</v>
      </c>
      <c r="F80" s="3" t="s">
        <v>97</v>
      </c>
    </row>
    <row r="81" spans="1:6" ht="70.5">
      <c r="A81" s="2" t="s">
        <v>362</v>
      </c>
      <c r="B81" s="2" t="s">
        <v>363</v>
      </c>
      <c r="C81" s="2" t="s">
        <v>364</v>
      </c>
      <c r="D81" s="2" t="s">
        <v>365</v>
      </c>
      <c r="E81" s="2" t="s">
        <v>170</v>
      </c>
      <c r="F81" s="3" t="s">
        <v>97</v>
      </c>
    </row>
    <row r="82" spans="1:6" ht="52.9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171</v>
      </c>
      <c r="F82" s="3" t="s">
        <v>97</v>
      </c>
    </row>
    <row r="83" spans="1:6" ht="70.5">
      <c r="A83" s="2" t="s">
        <v>370</v>
      </c>
      <c r="B83" s="2" t="s">
        <v>371</v>
      </c>
      <c r="C83" s="2" t="s">
        <v>372</v>
      </c>
      <c r="D83" s="2"/>
      <c r="E83" s="2" t="s">
        <v>172</v>
      </c>
      <c r="F83" s="3" t="s">
        <v>97</v>
      </c>
    </row>
    <row r="84" spans="1:6" ht="52.9">
      <c r="A84" s="2" t="s">
        <v>373</v>
      </c>
      <c r="B84" s="2" t="s">
        <v>374</v>
      </c>
      <c r="C84" s="2" t="s">
        <v>375</v>
      </c>
      <c r="D84" s="2"/>
      <c r="E84" s="2" t="s">
        <v>173</v>
      </c>
      <c r="F84" s="3" t="s">
        <v>97</v>
      </c>
    </row>
    <row r="85" spans="1:6" ht="52.9">
      <c r="A85" s="2" t="s">
        <v>376</v>
      </c>
      <c r="B85" s="2" t="s">
        <v>377</v>
      </c>
      <c r="C85" s="2" t="s">
        <v>378</v>
      </c>
      <c r="D85" s="2"/>
      <c r="E85" s="2" t="s">
        <v>174</v>
      </c>
      <c r="F85" s="3" t="s">
        <v>97</v>
      </c>
    </row>
    <row r="86" spans="1:6" ht="52.9">
      <c r="A86" s="2" t="s">
        <v>379</v>
      </c>
      <c r="B86" s="2" t="s">
        <v>380</v>
      </c>
      <c r="C86" s="2" t="s">
        <v>381</v>
      </c>
      <c r="D86" s="2" t="s">
        <v>382</v>
      </c>
      <c r="E86" s="2" t="s">
        <v>175</v>
      </c>
      <c r="F86" s="3" t="s">
        <v>97</v>
      </c>
    </row>
    <row r="87" spans="1:6" ht="35.25">
      <c r="A87" s="2" t="s">
        <v>383</v>
      </c>
      <c r="B87" s="2" t="s">
        <v>384</v>
      </c>
      <c r="C87" s="2" t="s">
        <v>385</v>
      </c>
      <c r="D87" s="2"/>
      <c r="E87" s="2" t="s">
        <v>176</v>
      </c>
      <c r="F87" s="3" t="s">
        <v>97</v>
      </c>
    </row>
    <row r="88" spans="1:6" ht="35.25">
      <c r="A88" s="2" t="s">
        <v>386</v>
      </c>
      <c r="B88" s="2" t="s">
        <v>387</v>
      </c>
      <c r="C88" s="2" t="s">
        <v>388</v>
      </c>
      <c r="D88" s="2" t="s">
        <v>389</v>
      </c>
      <c r="E88" s="2" t="s">
        <v>177</v>
      </c>
      <c r="F88" s="3" t="s">
        <v>97</v>
      </c>
    </row>
    <row r="89" spans="1:6" ht="35.25">
      <c r="A89" s="2" t="s">
        <v>390</v>
      </c>
      <c r="B89" s="2" t="s">
        <v>391</v>
      </c>
      <c r="C89" s="2" t="s">
        <v>392</v>
      </c>
      <c r="D89" s="2"/>
      <c r="E89" s="2" t="s">
        <v>178</v>
      </c>
      <c r="F89" s="3" t="s">
        <v>97</v>
      </c>
    </row>
    <row r="90" spans="1:6" ht="35.25">
      <c r="A90" s="2" t="s">
        <v>393</v>
      </c>
      <c r="B90" s="2" t="s">
        <v>394</v>
      </c>
      <c r="C90" s="2" t="s">
        <v>395</v>
      </c>
      <c r="D90" s="2"/>
      <c r="E90" s="2" t="s">
        <v>179</v>
      </c>
      <c r="F90" s="3" t="s">
        <v>97</v>
      </c>
    </row>
    <row r="91" spans="1:6" ht="35.25">
      <c r="A91" s="2" t="s">
        <v>396</v>
      </c>
      <c r="B91" s="2" t="s">
        <v>397</v>
      </c>
      <c r="C91" s="2" t="s">
        <v>398</v>
      </c>
      <c r="D91" s="2" t="s">
        <v>397</v>
      </c>
      <c r="E91" s="2" t="s">
        <v>180</v>
      </c>
      <c r="F91" s="3" t="s">
        <v>97</v>
      </c>
    </row>
    <row r="92" spans="1:6" ht="52.9">
      <c r="A92" s="2" t="s">
        <v>399</v>
      </c>
      <c r="B92" s="2" t="s">
        <v>400</v>
      </c>
      <c r="C92" s="2" t="s">
        <v>401</v>
      </c>
      <c r="D92" s="2"/>
      <c r="E92" s="2" t="s">
        <v>181</v>
      </c>
      <c r="F92" s="3" t="s">
        <v>97</v>
      </c>
    </row>
    <row r="93" spans="1:6" ht="70.5">
      <c r="A93" s="2" t="s">
        <v>402</v>
      </c>
      <c r="B93" s="2" t="s">
        <v>403</v>
      </c>
      <c r="C93" s="2" t="s">
        <v>404</v>
      </c>
      <c r="D93" s="2"/>
      <c r="E93" s="2" t="s">
        <v>182</v>
      </c>
      <c r="F93" s="3" t="s">
        <v>97</v>
      </c>
    </row>
    <row r="94" spans="1:6" ht="52.9">
      <c r="A94" s="2" t="s">
        <v>405</v>
      </c>
      <c r="B94" s="2" t="s">
        <v>406</v>
      </c>
      <c r="C94" s="2" t="s">
        <v>407</v>
      </c>
      <c r="D94" s="2"/>
      <c r="E94" s="2" t="s">
        <v>183</v>
      </c>
      <c r="F94" s="3" t="s">
        <v>97</v>
      </c>
    </row>
  </sheetData>
  <phoneticPr fontId="2"/>
  <hyperlinks>
    <hyperlink ref="F2" r:id="rId1" xr:uid="{F59195D9-74AC-4968-8E14-30BCFA77C45D}"/>
    <hyperlink ref="F3" r:id="rId2" xr:uid="{E737C135-8B30-4BB2-AF77-81C083D36EC8}"/>
    <hyperlink ref="F4" r:id="rId3" xr:uid="{E1474BAE-544F-4D74-BF73-CB91F8161A1C}"/>
    <hyperlink ref="F5" r:id="rId4" xr:uid="{932C466A-6CED-44F1-AAC3-C6666CD18E9D}"/>
    <hyperlink ref="F6" r:id="rId5" xr:uid="{FD49876A-50CB-4BD2-82BC-DFD678DDE9AE}"/>
    <hyperlink ref="F7" r:id="rId6" xr:uid="{6866B8BB-C1C7-4D90-9FA2-8063CFC89DAE}"/>
    <hyperlink ref="F8" r:id="rId7" xr:uid="{9C92C8A8-6710-4E97-AF32-A6E9EED43E16}"/>
    <hyperlink ref="F9" r:id="rId8" xr:uid="{F771D357-8101-4C69-B6D8-8C2193D3C136}"/>
    <hyperlink ref="F10" r:id="rId9" xr:uid="{3DF13ED0-CDDA-40BB-97CA-480451BCB40E}"/>
    <hyperlink ref="F11" r:id="rId10" xr:uid="{C305629B-5211-4D7A-A6C3-006C48C78E1D}"/>
    <hyperlink ref="F12" r:id="rId11" xr:uid="{9FBEE5A5-857E-4C54-BA4D-40AA6436FC57}"/>
    <hyperlink ref="F13" r:id="rId12" xr:uid="{D0728B61-8B79-4F94-8D9C-6A4A20153457}"/>
    <hyperlink ref="F14" r:id="rId13" xr:uid="{217E53F8-FF90-4CAC-AAB7-35DE6185C2D9}"/>
    <hyperlink ref="F15" r:id="rId14" xr:uid="{B14B3635-0EDF-44A6-B6BA-E8032D594EC5}"/>
    <hyperlink ref="F16" r:id="rId15" xr:uid="{1DCEDC79-E10A-4B22-BAB3-4F1274A8F50B}"/>
    <hyperlink ref="F17" r:id="rId16" xr:uid="{372E729C-3C7A-4EB0-88F0-6C27856F13D2}"/>
    <hyperlink ref="F18" r:id="rId17" xr:uid="{076D63E2-F628-4C54-A62C-77319694AE32}"/>
    <hyperlink ref="F19" r:id="rId18" xr:uid="{9219C125-BF5A-4929-A76D-CDED741D9DA0}"/>
    <hyperlink ref="F20" r:id="rId19" xr:uid="{2B4700BA-4055-408F-A2DE-8CFF97E4128E}"/>
    <hyperlink ref="F21" r:id="rId20" xr:uid="{6567F0B5-6CAE-4B63-9FB0-57B2285AAD04}"/>
    <hyperlink ref="F22" r:id="rId21" xr:uid="{BD9FF97A-04FC-4BE4-A0CF-6471BA7B879F}"/>
    <hyperlink ref="F23" r:id="rId22" xr:uid="{773012C2-1840-4FFA-8E23-E8EC4F2ED54F}"/>
    <hyperlink ref="F24" r:id="rId23" xr:uid="{C5204FEF-9D0B-497F-A3DB-4206EC17FC90}"/>
    <hyperlink ref="F25" r:id="rId24" xr:uid="{C223237B-86B8-4915-8F5B-5DB3AD443243}"/>
    <hyperlink ref="F26" r:id="rId25" xr:uid="{A722327B-57E0-4CC0-8C45-AC9E19A95833}"/>
    <hyperlink ref="F27" r:id="rId26" xr:uid="{11457686-8EB0-4475-910D-72DFA14AADCB}"/>
    <hyperlink ref="F28" r:id="rId27" xr:uid="{BF86A7D1-29DF-497B-B0D0-EA83432D79D7}"/>
    <hyperlink ref="F29" r:id="rId28" xr:uid="{E9A5F94C-56E1-4D4B-AB9E-C002D06957D8}"/>
    <hyperlink ref="F30" r:id="rId29" xr:uid="{78BBFF79-6F76-4C25-8B51-B1BD598AE2F8}"/>
    <hyperlink ref="F31" r:id="rId30" xr:uid="{AE7B34C8-81C3-42EB-B0CA-562918E818AD}"/>
    <hyperlink ref="F32" r:id="rId31" xr:uid="{6EA48C00-3BD9-4EF2-BF64-46DFB5893C1F}"/>
    <hyperlink ref="F33" r:id="rId32" xr:uid="{282FA9CA-B78D-493A-B8BE-C7F5A2AF4337}"/>
    <hyperlink ref="F34" r:id="rId33" xr:uid="{2C4701D8-1F99-4C45-9B3F-ED1999F7215A}"/>
    <hyperlink ref="F35" r:id="rId34" xr:uid="{A97AB01D-9488-410D-84AC-A8B31BE69429}"/>
    <hyperlink ref="F36" r:id="rId35" xr:uid="{0FE9ECE4-A49E-49B5-80AF-1ED548F771D1}"/>
    <hyperlink ref="F37" r:id="rId36" xr:uid="{315FA59A-FDEE-4E55-8B56-62BEBC55F059}"/>
    <hyperlink ref="F38" r:id="rId37" xr:uid="{6D326DB8-26A0-4BE4-947E-17343C472DE4}"/>
    <hyperlink ref="F39" r:id="rId38" xr:uid="{9ECF2A47-57FF-4160-9822-5D1BE907C353}"/>
    <hyperlink ref="F40" r:id="rId39" xr:uid="{97537A5A-82A6-47EF-8D54-5BC088E11F6A}"/>
    <hyperlink ref="F41" r:id="rId40" xr:uid="{7D1EF78D-AC00-4D3F-9E79-7C865DAF90F3}"/>
    <hyperlink ref="F42" r:id="rId41" xr:uid="{B5F9DDAC-30BF-4E41-9A43-88FD94449C1A}"/>
    <hyperlink ref="F43" r:id="rId42" xr:uid="{4DE13768-1C14-44A2-AF8B-F26F2AB216B9}"/>
    <hyperlink ref="F44" r:id="rId43" xr:uid="{B2E774F6-B0FC-4C37-9A75-9DD43DBBB4EF}"/>
    <hyperlink ref="F45" r:id="rId44" xr:uid="{3879E0B6-AC90-49CC-8D83-F39862C0A22C}"/>
    <hyperlink ref="F46" r:id="rId45" xr:uid="{0C33698A-636D-4D09-8FB3-C262F9F10EF3}"/>
    <hyperlink ref="F47" r:id="rId46" xr:uid="{02EBEDFC-E4B6-4146-9EF5-9D2D7C612CE1}"/>
    <hyperlink ref="F48" r:id="rId47" xr:uid="{61361610-7704-4D60-B71F-D33E50A1F511}"/>
    <hyperlink ref="F49" r:id="rId48" xr:uid="{B753D157-1649-4BB7-8E5E-0D8E985181DF}"/>
    <hyperlink ref="F50" r:id="rId49" xr:uid="{FA70FA05-C3DB-4193-802F-AE3E5004F5DA}"/>
    <hyperlink ref="F51" r:id="rId50" xr:uid="{9E28C04D-E335-4D74-8237-2119FD4971F9}"/>
    <hyperlink ref="F52" r:id="rId51" xr:uid="{8588CA77-1ADB-47CE-A0A3-FAA828C1395A}"/>
    <hyperlink ref="F53" r:id="rId52" xr:uid="{C2414A44-F167-4DD3-AB79-FD19804A695A}"/>
    <hyperlink ref="F54" r:id="rId53" xr:uid="{A186A805-5001-4D90-8CD4-C9452E8FFC71}"/>
    <hyperlink ref="F55" r:id="rId54" xr:uid="{91FF6B55-4B42-4CE8-8B72-4AF68963F044}"/>
    <hyperlink ref="F56" r:id="rId55" xr:uid="{46D68F33-7E8A-4A8E-96B3-3967C751AC45}"/>
    <hyperlink ref="F57" r:id="rId56" xr:uid="{572CF4FA-26B7-426F-9BE5-3056B455A1A1}"/>
    <hyperlink ref="F58" r:id="rId57" xr:uid="{9DCB649A-07ED-4348-BA83-35400B55EA98}"/>
    <hyperlink ref="F59" r:id="rId58" xr:uid="{DBC9F23B-FC9C-4D00-9FD8-AABA21747761}"/>
    <hyperlink ref="F60" r:id="rId59" xr:uid="{F7D0679E-4133-434E-B556-2C90824326FE}"/>
    <hyperlink ref="F61" r:id="rId60" xr:uid="{D76F9C72-ADBF-49F0-A2DA-AD72B42D6A98}"/>
    <hyperlink ref="F62" r:id="rId61" xr:uid="{A5A77EBC-5FAC-438B-81C2-F3556DC7788D}"/>
    <hyperlink ref="F63" r:id="rId62" xr:uid="{1A45173F-7263-492E-90D1-DE18C064EC8E}"/>
    <hyperlink ref="F64" r:id="rId63" xr:uid="{38B95B61-3690-4F44-8E9C-FF25897CE50C}"/>
    <hyperlink ref="F65" r:id="rId64" xr:uid="{3664295F-1FF8-4827-B044-204235EC171A}"/>
    <hyperlink ref="F66" r:id="rId65" xr:uid="{B44DC819-4D44-4E15-8FE2-730FCCB41247}"/>
    <hyperlink ref="F67" r:id="rId66" xr:uid="{EDD2D5D0-76C4-41C5-9BC1-616D8A822840}"/>
    <hyperlink ref="F68" r:id="rId67" xr:uid="{13B922A5-F1F5-4D87-90E5-F625B1F6A1FC}"/>
    <hyperlink ref="F69" r:id="rId68" xr:uid="{C50CF2E0-ADCC-47E4-9DF5-9C0141BA4D7B}"/>
    <hyperlink ref="F70" r:id="rId69" xr:uid="{67F6B07D-C848-4AD1-AF52-69BD9EEE4522}"/>
    <hyperlink ref="F71" r:id="rId70" xr:uid="{14857AB1-97F4-4D1B-8499-610BA7EEF83B}"/>
    <hyperlink ref="F72" r:id="rId71" xr:uid="{B4EF72F1-2D79-4127-94A2-FF6CB87F0EDF}"/>
    <hyperlink ref="F73" r:id="rId72" xr:uid="{3CBA2AAC-0A78-48C0-9DC6-5795A705B557}"/>
    <hyperlink ref="F74" r:id="rId73" xr:uid="{6FD895A2-2E77-4E94-B486-182E40BC01E3}"/>
    <hyperlink ref="F75" r:id="rId74" xr:uid="{8C5E1180-1EFC-401D-8CDF-A9B9DC0E7DC0}"/>
    <hyperlink ref="F76" r:id="rId75" xr:uid="{08F3E241-03A0-44A3-B6DC-79EAFFD7B49F}"/>
    <hyperlink ref="F77" r:id="rId76" xr:uid="{C9E1F5D7-6D4F-482D-A68F-190C9BA1D240}"/>
    <hyperlink ref="F78" r:id="rId77" xr:uid="{EF9B043B-D2FF-4766-B71C-9E9EDBF896A0}"/>
    <hyperlink ref="F79" r:id="rId78" xr:uid="{A4344064-261D-4D79-AEC1-7DE69DC3B889}"/>
    <hyperlink ref="F80" r:id="rId79" xr:uid="{8EE211BE-0ED1-4428-9BBB-8B76AB89C137}"/>
    <hyperlink ref="F81" r:id="rId80" xr:uid="{75260027-5699-4169-A8D4-B90D4D72C1BC}"/>
    <hyperlink ref="F82" r:id="rId81" xr:uid="{082385E4-5634-40C0-9090-0C94198426EA}"/>
    <hyperlink ref="F83" r:id="rId82" xr:uid="{43FE14C5-12C9-465E-8E90-B3D3FB68CC1B}"/>
    <hyperlink ref="F84" r:id="rId83" xr:uid="{4CA78901-ADBE-41B5-850A-AB2DFA39A54B}"/>
    <hyperlink ref="F85" r:id="rId84" xr:uid="{13820813-FCBA-4EC1-BDD0-79DFF3AA1DBD}"/>
    <hyperlink ref="F86" r:id="rId85" xr:uid="{ED999DA5-0B33-47D0-95F2-D3E11872A5BF}"/>
    <hyperlink ref="F87" r:id="rId86" xr:uid="{D7F75591-3E90-48F3-9B38-42F30082C34A}"/>
    <hyperlink ref="F88" r:id="rId87" xr:uid="{8FB0354C-047D-4ABF-B13E-B28B8ADB592C}"/>
    <hyperlink ref="F89" r:id="rId88" xr:uid="{890021FF-4C23-4BCA-A0AF-1E3028D554B3}"/>
    <hyperlink ref="F90" r:id="rId89" xr:uid="{F6E7F5BA-7DE7-4C97-9CC8-2E8B16A993E2}"/>
    <hyperlink ref="F91" r:id="rId90" xr:uid="{EC99C2E2-6106-4024-9FD3-C8AE5D95BB91}"/>
    <hyperlink ref="F92" r:id="rId91" xr:uid="{50362B77-1CE1-4FF0-80FA-41BA288FD44A}"/>
    <hyperlink ref="F93" r:id="rId92" xr:uid="{45FCFCB6-60D8-488C-A850-38DF64C80743}"/>
    <hyperlink ref="F94" r:id="rId93" xr:uid="{F18F9758-C4BF-49AC-8CC1-1FC9957B774C}"/>
  </hyperlinks>
  <pageMargins left="0.7" right="0.7" top="0.75" bottom="0.75" header="0.3" footer="0.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408</v>
      </c>
      <c r="B2" s="5" t="s">
        <v>409</v>
      </c>
      <c r="C2" s="5"/>
      <c r="D2" s="5" t="s">
        <v>562</v>
      </c>
      <c r="E2" s="3" t="str">
        <f>HYPERLINK("https://www.city.chiyoda.lg.jp/koho/kenko/koresha/sodan/ombudsman.html","ホームページ")</f>
        <v>ホームページ</v>
      </c>
    </row>
    <row r="3" spans="1:5" ht="35.25">
      <c r="A3" s="5" t="s">
        <v>410</v>
      </c>
      <c r="B3" s="5" t="s">
        <v>411</v>
      </c>
      <c r="C3" s="5"/>
      <c r="D3" s="5" t="s">
        <v>563</v>
      </c>
      <c r="E3" s="5"/>
    </row>
    <row r="4" spans="1:5" ht="35.25">
      <c r="A4" s="5" t="s">
        <v>412</v>
      </c>
      <c r="B4" s="5" t="s">
        <v>413</v>
      </c>
      <c r="C4" s="5" t="s">
        <v>414</v>
      </c>
      <c r="D4" s="5" t="s">
        <v>564</v>
      </c>
      <c r="E4" s="3" t="str">
        <f>HYPERLINK("https://www.city.chuo.lg.jp/a0019/kujo.html","ホームページ")</f>
        <v>ホームページ</v>
      </c>
    </row>
    <row r="5" spans="1:5" ht="88.15">
      <c r="A5" s="5" t="s">
        <v>415</v>
      </c>
      <c r="B5" s="5" t="s">
        <v>416</v>
      </c>
      <c r="C5" s="5" t="s">
        <v>417</v>
      </c>
      <c r="D5" s="5" t="s">
        <v>565</v>
      </c>
      <c r="E5" s="3" t="str">
        <f>HYPERLINK("https://www.shakyo-chuo-city.jp/","ホームページ")</f>
        <v>ホームページ</v>
      </c>
    </row>
    <row r="6" spans="1:5" ht="52.9">
      <c r="A6" s="5" t="s">
        <v>418</v>
      </c>
      <c r="B6" s="5" t="s">
        <v>419</v>
      </c>
      <c r="C6" s="5"/>
      <c r="D6" s="5" t="s">
        <v>566</v>
      </c>
      <c r="E6" s="3" t="str">
        <f>HYPERLINK("https://www.city.minato.tokyo.jp/kenko/fukushi/shogaisha/madoguchi/kujokaiketsu.html","ホームページ")</f>
        <v>ホームページ</v>
      </c>
    </row>
    <row r="7" spans="1:5" ht="35.25">
      <c r="A7" s="5" t="s">
        <v>420</v>
      </c>
      <c r="B7" s="5" t="s">
        <v>421</v>
      </c>
      <c r="C7" s="5" t="s">
        <v>422</v>
      </c>
      <c r="D7" s="5" t="s">
        <v>567</v>
      </c>
      <c r="E7" s="5"/>
    </row>
    <row r="8" spans="1:5" ht="52.9">
      <c r="A8" s="5" t="s">
        <v>423</v>
      </c>
      <c r="B8" s="5" t="s">
        <v>424</v>
      </c>
      <c r="C8" s="5"/>
      <c r="D8" s="5" t="s">
        <v>568</v>
      </c>
      <c r="E8" s="3" t="str">
        <f>HYPERLINK("https://www.city.shinjuku.lg.jp/fukushi/file04_00006.html","ホームページ")</f>
        <v>ホームページ</v>
      </c>
    </row>
    <row r="9" spans="1:5" ht="52.9">
      <c r="A9" s="5" t="s">
        <v>420</v>
      </c>
      <c r="B9" s="5" t="s">
        <v>425</v>
      </c>
      <c r="C9" s="5" t="s">
        <v>426</v>
      </c>
      <c r="D9" s="5" t="s">
        <v>569</v>
      </c>
      <c r="E9" s="3" t="str">
        <f>HYPERLINK("https://www.bunsyakyo.or.jp/service/complaints","ホームページ")</f>
        <v>ホームページ</v>
      </c>
    </row>
    <row r="10" spans="1:5">
      <c r="A10" s="5" t="s">
        <v>420</v>
      </c>
      <c r="B10" s="5" t="s">
        <v>427</v>
      </c>
      <c r="C10" s="5"/>
      <c r="D10" s="5" t="s">
        <v>570</v>
      </c>
      <c r="E10" s="3" t="str">
        <f>HYPERLINK("https://taitoshakyo.com/service/anshin/kujyo-sodan","ホームページ")</f>
        <v>ホームページ</v>
      </c>
    </row>
    <row r="11" spans="1:5" ht="52.9">
      <c r="A11" s="5" t="s">
        <v>428</v>
      </c>
      <c r="B11" s="5" t="s">
        <v>429</v>
      </c>
      <c r="C11" s="5" t="s">
        <v>430</v>
      </c>
      <c r="D11" s="5" t="s">
        <v>571</v>
      </c>
      <c r="E11" s="3" t="str">
        <f>HYPERLINK("https://www.sumida-shakyo.or.jp/service/cate04/kujyo","ホームページ")</f>
        <v>ホームページ</v>
      </c>
    </row>
    <row r="12" spans="1:5" ht="52.9">
      <c r="A12" s="5" t="s">
        <v>420</v>
      </c>
      <c r="B12" s="5" t="s">
        <v>431</v>
      </c>
      <c r="C12" s="5" t="s">
        <v>432</v>
      </c>
      <c r="D12" s="5" t="s">
        <v>572</v>
      </c>
      <c r="E12" s="3" t="str">
        <f>HYPERLINK("https://koto-shakyo.or.jp/kenric/index.html","ホームページ")</f>
        <v>ホームページ</v>
      </c>
    </row>
    <row r="13" spans="1:5" ht="35.25">
      <c r="A13" s="5" t="s">
        <v>433</v>
      </c>
      <c r="B13" s="5" t="s">
        <v>434</v>
      </c>
      <c r="C13" s="5"/>
      <c r="D13" s="5" t="s">
        <v>573</v>
      </c>
      <c r="E13" s="5"/>
    </row>
    <row r="14" spans="1:5" ht="70.5">
      <c r="A14" s="5" t="s">
        <v>420</v>
      </c>
      <c r="B14" s="5" t="s">
        <v>435</v>
      </c>
      <c r="C14" s="5" t="s">
        <v>436</v>
      </c>
      <c r="D14" s="5" t="s">
        <v>574</v>
      </c>
      <c r="E14" s="5"/>
    </row>
    <row r="15" spans="1:5" ht="35.25">
      <c r="A15" s="5" t="s">
        <v>437</v>
      </c>
      <c r="B15" s="5" t="s">
        <v>438</v>
      </c>
      <c r="C15" s="5" t="s">
        <v>439</v>
      </c>
      <c r="D15" s="5" t="s">
        <v>575</v>
      </c>
      <c r="E15" s="3" t="str">
        <f>HYPERLINK("https://www.city.ota.tokyo.jp/seikatsu/sodan/ombudsman/index.html","ホームページ")</f>
        <v>ホームページ</v>
      </c>
    </row>
    <row r="16" spans="1:5" ht="35.25">
      <c r="A16" s="5" t="s">
        <v>440</v>
      </c>
      <c r="B16" s="5" t="s">
        <v>441</v>
      </c>
      <c r="C16" s="5" t="s">
        <v>442</v>
      </c>
      <c r="D16" s="5" t="s">
        <v>576</v>
      </c>
      <c r="E16" s="3" t="str">
        <f>HYPERLINK("https://www.city.setagaya.lg.jp/02014/3304.html","ホームページ")</f>
        <v>ホームページ</v>
      </c>
    </row>
    <row r="17" spans="1:5" ht="35.25">
      <c r="A17" s="5" t="s">
        <v>443</v>
      </c>
      <c r="B17" s="5" t="s">
        <v>444</v>
      </c>
      <c r="C17" s="5"/>
      <c r="D17" s="5" t="s">
        <v>577</v>
      </c>
      <c r="E17" s="3" t="str">
        <f>HYPERLINK("https://files.city.shibuya.tokyo.jp/assets/12995aba8b194961be709ba879857f70/c2b63a3cba4449fa8ac0d168cee3d0ff/assets_kurashi_000064166.pdf","ホームページ")</f>
        <v>ホームページ</v>
      </c>
    </row>
    <row r="18" spans="1:5" ht="35.25">
      <c r="A18" s="5" t="s">
        <v>445</v>
      </c>
      <c r="B18" s="5" t="s">
        <v>446</v>
      </c>
      <c r="C18" s="5"/>
      <c r="D18" s="5" t="s">
        <v>578</v>
      </c>
      <c r="E18" s="3" t="str">
        <f>HYPERLINK("https://nakanoshakyo.com/","ホームページ")</f>
        <v>ホームページ</v>
      </c>
    </row>
    <row r="19" spans="1:5" ht="52.9">
      <c r="A19" s="5" t="s">
        <v>447</v>
      </c>
      <c r="B19" s="5" t="s">
        <v>448</v>
      </c>
      <c r="C19" s="5" t="s">
        <v>449</v>
      </c>
      <c r="D19" s="5" t="s">
        <v>579</v>
      </c>
      <c r="E19" s="3" t="str">
        <f>HYPERLINK("https://www.city.tokyo-nakano.lg.jp/kenko_hukushi/soudan/kujyomoshitate.html","ホームページ")</f>
        <v>ホームページ</v>
      </c>
    </row>
    <row r="20" spans="1:5" ht="35.25">
      <c r="A20" s="5" t="s">
        <v>450</v>
      </c>
      <c r="B20" s="5" t="s">
        <v>448</v>
      </c>
      <c r="C20" s="5" t="s">
        <v>449</v>
      </c>
      <c r="D20" s="5" t="s">
        <v>580</v>
      </c>
      <c r="E20" s="3" t="str">
        <f>HYPERLINK("https://www.city.tokyo-nakano.lg.jp/kenko_hukushi/soudan/fukushi-funsocyotei.html","ホームページ")</f>
        <v>ホームページ</v>
      </c>
    </row>
    <row r="21" spans="1:5" ht="52.9">
      <c r="A21" s="5" t="s">
        <v>451</v>
      </c>
      <c r="B21" s="5" t="s">
        <v>452</v>
      </c>
      <c r="C21" s="5"/>
      <c r="D21" s="5" t="s">
        <v>581</v>
      </c>
      <c r="E21" s="3" t="str">
        <f>HYPERLINK("https://www.city.suginami.tokyo.jp/s034/1809.html","ホームページ")</f>
        <v>ホームページ</v>
      </c>
    </row>
    <row r="22" spans="1:5" ht="70.5">
      <c r="A22" s="5" t="s">
        <v>453</v>
      </c>
      <c r="B22" s="5" t="s">
        <v>454</v>
      </c>
      <c r="C22" s="5" t="s">
        <v>455</v>
      </c>
      <c r="D22" s="5" t="s">
        <v>582</v>
      </c>
      <c r="E22" s="3" t="str">
        <f>HYPERLINK("https://toshima-shakyo.or.jp/","ホームページ")</f>
        <v>ホームページ</v>
      </c>
    </row>
    <row r="23" spans="1:5" ht="52.9">
      <c r="A23" s="5" t="s">
        <v>420</v>
      </c>
      <c r="B23" s="5" t="s">
        <v>456</v>
      </c>
      <c r="C23" s="5" t="s">
        <v>457</v>
      </c>
      <c r="D23" s="5" t="s">
        <v>583</v>
      </c>
      <c r="E23" s="3" t="str">
        <f>HYPERLINK("https://kitashakyo.or.jp/","ホームページ")</f>
        <v>ホームページ</v>
      </c>
    </row>
    <row r="24" spans="1:5" ht="35.25">
      <c r="A24" s="5" t="s">
        <v>458</v>
      </c>
      <c r="B24" s="5" t="s">
        <v>459</v>
      </c>
      <c r="C24" s="5" t="s">
        <v>460</v>
      </c>
      <c r="D24" s="5" t="s">
        <v>584</v>
      </c>
      <c r="E24" s="3" t="str">
        <f>HYPERLINK("https://www.arakawa-shakyo.or.jp/sodan/","ホームページ")</f>
        <v>ホームページ</v>
      </c>
    </row>
    <row r="25" spans="1:5" ht="35.25">
      <c r="A25" s="5" t="s">
        <v>461</v>
      </c>
      <c r="B25" s="5" t="s">
        <v>462</v>
      </c>
      <c r="C25" s="5"/>
      <c r="D25" s="5" t="s">
        <v>585</v>
      </c>
      <c r="E25" s="3" t="str">
        <f>HYPERLINK("https://www.city.itabashi.tokyo.jp/kenko/soudan/ombudsman/index.html","ホームページ")</f>
        <v>ホームページ</v>
      </c>
    </row>
    <row r="26" spans="1:5" ht="70.5">
      <c r="A26" s="5" t="s">
        <v>463</v>
      </c>
      <c r="B26" s="5" t="s">
        <v>464</v>
      </c>
      <c r="C26" s="5" t="s">
        <v>465</v>
      </c>
      <c r="D26" s="5" t="s">
        <v>586</v>
      </c>
      <c r="E26" s="3" t="str">
        <f>HYPERLINK("https://www.city.nerima.tokyo.jp/hokenfukushi/chiikifukushi/kujochosei/index.html","ホームページ")</f>
        <v>ホームページ</v>
      </c>
    </row>
    <row r="27" spans="1:5" ht="52.9">
      <c r="A27" s="5" t="s">
        <v>466</v>
      </c>
      <c r="B27" s="5" t="s">
        <v>467</v>
      </c>
      <c r="C27" s="5" t="s">
        <v>468</v>
      </c>
      <c r="D27" s="5" t="s">
        <v>587</v>
      </c>
      <c r="E27" s="3" t="str">
        <f>HYPERLINK("https://adachisyakyo.jp/service/kikan-kinou/","ホームページ")</f>
        <v>ホームページ</v>
      </c>
    </row>
    <row r="28" spans="1:5" ht="52.9">
      <c r="A28" s="5" t="s">
        <v>469</v>
      </c>
      <c r="B28" s="5" t="s">
        <v>470</v>
      </c>
      <c r="C28" s="5"/>
      <c r="D28" s="5" t="s">
        <v>588</v>
      </c>
      <c r="E28" s="3" t="str">
        <f>HYPERLINK("https://www.city.katsushika.lg.jp/information/1000084/1006014/1006095.html","ホームページ")</f>
        <v>ホームページ</v>
      </c>
    </row>
    <row r="29" spans="1:5" ht="52.9">
      <c r="A29" s="5" t="s">
        <v>471</v>
      </c>
      <c r="B29" s="5" t="s">
        <v>472</v>
      </c>
      <c r="C29" s="5" t="s">
        <v>473</v>
      </c>
      <c r="D29" s="5" t="s">
        <v>589</v>
      </c>
      <c r="E29" s="3" t="str">
        <f>HYPERLINK("https://www.katsushika-shakyo.com/service/advisement/advocacy_center/","ホームページ")</f>
        <v>ホームページ</v>
      </c>
    </row>
    <row r="30" spans="1:5" ht="35.25">
      <c r="A30" s="5" t="s">
        <v>474</v>
      </c>
      <c r="B30" s="5" t="s">
        <v>475</v>
      </c>
      <c r="C30" s="5" t="s">
        <v>476</v>
      </c>
      <c r="D30" s="5" t="s">
        <v>590</v>
      </c>
      <c r="E30" s="3" t="str">
        <f>HYPERLINK("https://www.edogawa-shakyo.jp/","ホームページ")</f>
        <v>ホームページ</v>
      </c>
    </row>
    <row r="31" spans="1:5" ht="35.25">
      <c r="A31" s="5" t="s">
        <v>477</v>
      </c>
      <c r="B31" s="5" t="s">
        <v>478</v>
      </c>
      <c r="C31" s="5"/>
      <c r="D31" s="5" t="s">
        <v>591</v>
      </c>
      <c r="E31" s="3" t="str">
        <f>HYPERLINK("https://www.8-shakyo.or.jp/service/kuzyoutaioutousenmonsoudan.html","ホームページ")</f>
        <v>ホームページ</v>
      </c>
    </row>
    <row r="32" spans="1:5" ht="35.25">
      <c r="A32" s="5" t="s">
        <v>479</v>
      </c>
      <c r="B32" s="5" t="s">
        <v>480</v>
      </c>
      <c r="C32" s="5"/>
      <c r="D32" s="5" t="s">
        <v>592</v>
      </c>
      <c r="E32" s="5"/>
    </row>
    <row r="33" spans="1:5" ht="35.25">
      <c r="A33" s="5" t="s">
        <v>481</v>
      </c>
      <c r="B33" s="5" t="s">
        <v>482</v>
      </c>
      <c r="C33" s="5"/>
      <c r="D33" s="5" t="s">
        <v>593</v>
      </c>
      <c r="E33" s="5"/>
    </row>
    <row r="34" spans="1:5" ht="52.9">
      <c r="A34" s="5" t="s">
        <v>483</v>
      </c>
      <c r="B34" s="5" t="s">
        <v>484</v>
      </c>
      <c r="C34" s="5"/>
      <c r="D34" s="5" t="s">
        <v>594</v>
      </c>
      <c r="E34" s="5"/>
    </row>
    <row r="35" spans="1:5" ht="52.9">
      <c r="A35" s="5" t="s">
        <v>485</v>
      </c>
      <c r="B35" s="5" t="s">
        <v>486</v>
      </c>
      <c r="C35" s="5"/>
      <c r="D35" s="5" t="s">
        <v>595</v>
      </c>
      <c r="E35" s="5"/>
    </row>
    <row r="36" spans="1:5" ht="52.9">
      <c r="A36" s="5" t="s">
        <v>487</v>
      </c>
      <c r="B36" s="5" t="s">
        <v>488</v>
      </c>
      <c r="C36" s="5" t="s">
        <v>489</v>
      </c>
      <c r="D36" s="5" t="s">
        <v>596</v>
      </c>
      <c r="E36" s="5"/>
    </row>
    <row r="37" spans="1:5" ht="35.25">
      <c r="A37" s="5" t="s">
        <v>490</v>
      </c>
      <c r="B37" s="5" t="s">
        <v>491</v>
      </c>
      <c r="C37" s="5"/>
      <c r="D37" s="5" t="s">
        <v>597</v>
      </c>
      <c r="E37" s="5"/>
    </row>
    <row r="38" spans="1:5" ht="70.5">
      <c r="A38" s="5" t="s">
        <v>492</v>
      </c>
      <c r="B38" s="5" t="s">
        <v>493</v>
      </c>
      <c r="C38" s="5" t="s">
        <v>494</v>
      </c>
      <c r="D38" s="5" t="s">
        <v>598</v>
      </c>
      <c r="E38" s="3" t="str">
        <f>HYPERLINK("https://www.city.akishima.lg.jp/shisei/kocho/1002738/1002739.html","ホームページ")</f>
        <v>ホームページ</v>
      </c>
    </row>
    <row r="39" spans="1:5" ht="70.5">
      <c r="A39" s="5" t="s">
        <v>495</v>
      </c>
      <c r="B39" s="5" t="s">
        <v>496</v>
      </c>
      <c r="C39" s="5" t="s">
        <v>497</v>
      </c>
      <c r="D39" s="5" t="s">
        <v>599</v>
      </c>
      <c r="E39" s="3" t="str">
        <f>HYPERLINK("https://www.city.chofu.lg.jp/030060/p019043.html","ホームページ")</f>
        <v>ホームページ</v>
      </c>
    </row>
    <row r="40" spans="1:5" ht="35.25">
      <c r="A40" s="5" t="s">
        <v>498</v>
      </c>
      <c r="B40" s="5" t="s">
        <v>499</v>
      </c>
      <c r="C40" s="5"/>
      <c r="D40" s="5" t="s">
        <v>600</v>
      </c>
      <c r="E40" s="3" t="str">
        <f>HYPERLINK("https://machida-shakyo.or.jp/fukushisupport/","ホームページ")</f>
        <v>ホームページ</v>
      </c>
    </row>
    <row r="41" spans="1:5" ht="35.25">
      <c r="A41" s="5" t="s">
        <v>500</v>
      </c>
      <c r="B41" s="5" t="s">
        <v>501</v>
      </c>
      <c r="C41" s="5" t="s">
        <v>502</v>
      </c>
      <c r="D41" s="5" t="s">
        <v>601</v>
      </c>
      <c r="E41" s="5"/>
    </row>
    <row r="42" spans="1:5" ht="35.25">
      <c r="A42" s="5" t="s">
        <v>503</v>
      </c>
      <c r="B42" s="5" t="s">
        <v>504</v>
      </c>
      <c r="C42" s="5"/>
      <c r="D42" s="5" t="s">
        <v>602</v>
      </c>
      <c r="E42" s="3" t="str">
        <f>HYPERLINK("https://www.syakaifukushi.kodaira.tokyo.jp/service/kenriyougo.html","ホームページ")</f>
        <v>ホームページ</v>
      </c>
    </row>
    <row r="43" spans="1:5" ht="35.25">
      <c r="A43" s="5" t="s">
        <v>505</v>
      </c>
      <c r="B43" s="5" t="s">
        <v>506</v>
      </c>
      <c r="C43" s="5" t="s">
        <v>507</v>
      </c>
      <c r="D43" s="5" t="s">
        <v>603</v>
      </c>
      <c r="E43" s="3" t="str">
        <f>HYPERLINK("https://www.city.hino.lg.jp/fukushi/fukushi/ombuds/1003301.html","ホームページ")</f>
        <v>ホームページ</v>
      </c>
    </row>
    <row r="44" spans="1:5" ht="52.9">
      <c r="A44" s="5" t="s">
        <v>508</v>
      </c>
      <c r="B44" s="5" t="s">
        <v>509</v>
      </c>
      <c r="C44" s="5" t="s">
        <v>510</v>
      </c>
      <c r="D44" s="5" t="s">
        <v>604</v>
      </c>
      <c r="E44" s="3" t="str">
        <f>HYPERLINK("https://hm-shakyo.or.jp/service/house/necessary/20210512_18.html","ホームページ")</f>
        <v>ホームページ</v>
      </c>
    </row>
    <row r="45" spans="1:5" ht="35.25">
      <c r="A45" s="5" t="s">
        <v>511</v>
      </c>
      <c r="B45" s="5" t="s">
        <v>512</v>
      </c>
      <c r="C45" s="5" t="s">
        <v>513</v>
      </c>
      <c r="D45" s="5" t="s">
        <v>605</v>
      </c>
      <c r="E45" s="3" t="str">
        <f>HYPERLINK("https://www.ko-shakyo.or.jp/","ホームページ")</f>
        <v>ホームページ</v>
      </c>
    </row>
    <row r="46" spans="1:5" ht="35.25">
      <c r="A46" s="5" t="s">
        <v>514</v>
      </c>
      <c r="B46" s="5" t="s">
        <v>515</v>
      </c>
      <c r="C46" s="5"/>
      <c r="D46" s="5" t="s">
        <v>606</v>
      </c>
      <c r="E46" s="3" t="str">
        <f>HYPERLINK("https://www.city.kunitachi.tokyo.jp/kurashi/ombudsman/5128.html","ホームページ")</f>
        <v>ホームページ</v>
      </c>
    </row>
    <row r="47" spans="1:5" ht="52.9">
      <c r="A47" s="5" t="s">
        <v>516</v>
      </c>
      <c r="B47" s="5" t="s">
        <v>517</v>
      </c>
      <c r="C47" s="5" t="s">
        <v>518</v>
      </c>
      <c r="D47" s="5" t="s">
        <v>607</v>
      </c>
      <c r="E47" s="3" t="str">
        <f>HYPERLINK("https://fussashakyo.or.jp/","ホームページ")</f>
        <v>ホームページ</v>
      </c>
    </row>
    <row r="48" spans="1:5" ht="35.25">
      <c r="A48" s="5" t="s">
        <v>519</v>
      </c>
      <c r="B48" s="5" t="s">
        <v>520</v>
      </c>
      <c r="C48" s="5"/>
      <c r="D48" s="5" t="s">
        <v>608</v>
      </c>
      <c r="E48" s="3" t="str">
        <f>HYPERLINK("https://welfare.komae.org/s_list/reg_money/anshin_komae/","ホームページ")</f>
        <v>ホームページ</v>
      </c>
    </row>
    <row r="49" spans="1:5">
      <c r="A49" s="5" t="s">
        <v>521</v>
      </c>
      <c r="B49" s="5" t="s">
        <v>522</v>
      </c>
      <c r="C49" s="5" t="s">
        <v>523</v>
      </c>
      <c r="D49" s="5" t="s">
        <v>609</v>
      </c>
      <c r="E49" s="3" t="str">
        <f>HYPERLINK("https://www.higashiyamatoshakyou.or.jp/","ホームページ")</f>
        <v>ホームページ</v>
      </c>
    </row>
    <row r="50" spans="1:5" ht="35.25">
      <c r="A50" s="5" t="s">
        <v>524</v>
      </c>
      <c r="B50" s="5" t="s">
        <v>525</v>
      </c>
      <c r="C50" s="5" t="s">
        <v>526</v>
      </c>
      <c r="D50" s="5" t="s">
        <v>610</v>
      </c>
      <c r="E50" s="3" t="str">
        <f>HYPERLINK("https://www.kiyose-f.net/pages/66/","ホームページ")</f>
        <v>ホームページ</v>
      </c>
    </row>
    <row r="51" spans="1:5" ht="35.25">
      <c r="A51" s="5" t="s">
        <v>527</v>
      </c>
      <c r="B51" s="5" t="s">
        <v>528</v>
      </c>
      <c r="C51" s="5" t="s">
        <v>529</v>
      </c>
      <c r="D51" s="5" t="s">
        <v>611</v>
      </c>
      <c r="E51" s="3" t="str">
        <f>HYPERLINK("https://higashikurume-shakyo.or.jp/","ホームページ")</f>
        <v>ホームページ</v>
      </c>
    </row>
    <row r="52" spans="1:5" ht="35.25">
      <c r="A52" s="5" t="s">
        <v>530</v>
      </c>
      <c r="B52" s="5" t="s">
        <v>531</v>
      </c>
      <c r="C52" s="5" t="s">
        <v>532</v>
      </c>
      <c r="D52" s="5" t="s">
        <v>612</v>
      </c>
      <c r="E52" s="5"/>
    </row>
    <row r="53" spans="1:5" ht="70.5">
      <c r="A53" s="5" t="s">
        <v>533</v>
      </c>
      <c r="B53" s="5" t="s">
        <v>534</v>
      </c>
      <c r="C53" s="5" t="s">
        <v>535</v>
      </c>
      <c r="D53" s="5" t="s">
        <v>613</v>
      </c>
      <c r="E53" s="5"/>
    </row>
    <row r="54" spans="1:5" ht="35.25">
      <c r="A54" s="5" t="s">
        <v>536</v>
      </c>
      <c r="B54" s="5" t="s">
        <v>537</v>
      </c>
      <c r="C54" s="5" t="s">
        <v>538</v>
      </c>
      <c r="D54" s="5" t="s">
        <v>614</v>
      </c>
      <c r="E54" s="3" t="str">
        <f>HYPERLINK("https://inagishakyo.org/","ホームページ")</f>
        <v>ホームページ</v>
      </c>
    </row>
    <row r="55" spans="1:5" ht="52.9">
      <c r="A55" s="5" t="s">
        <v>539</v>
      </c>
      <c r="B55" s="5" t="s">
        <v>540</v>
      </c>
      <c r="C55" s="5" t="s">
        <v>541</v>
      </c>
      <c r="D55" s="5" t="s">
        <v>615</v>
      </c>
      <c r="E55" s="3" t="str">
        <f>HYPERLINK("https://www.hamurashakyo.jp/pages/52","ホームページ")</f>
        <v>ホームページ</v>
      </c>
    </row>
    <row r="56" spans="1:5" ht="35.25">
      <c r="A56" s="5" t="s">
        <v>542</v>
      </c>
      <c r="B56" s="5" t="s">
        <v>543</v>
      </c>
      <c r="C56" s="5" t="s">
        <v>544</v>
      </c>
      <c r="D56" s="5" t="s">
        <v>616</v>
      </c>
      <c r="E56" s="3" t="str">
        <f>HYPERLINK("https://akiruno-shakyo.or.jp/","ホームページ")</f>
        <v>ホームページ</v>
      </c>
    </row>
    <row r="57" spans="1:5" ht="35.25">
      <c r="A57" s="5" t="s">
        <v>420</v>
      </c>
      <c r="B57" s="5" t="s">
        <v>545</v>
      </c>
      <c r="C57" s="5"/>
      <c r="D57" s="5" t="s">
        <v>617</v>
      </c>
      <c r="E57" s="5"/>
    </row>
    <row r="58" spans="1:5" ht="52.9">
      <c r="A58" s="5" t="s">
        <v>546</v>
      </c>
      <c r="B58" s="5" t="s">
        <v>547</v>
      </c>
      <c r="C58" s="5" t="s">
        <v>548</v>
      </c>
      <c r="D58" s="5" t="s">
        <v>618</v>
      </c>
      <c r="E58" s="3" t="str">
        <f>HYPERLINK("https://mizuho-shakyo.com/rpc/","ホームページ")</f>
        <v>ホームページ</v>
      </c>
    </row>
    <row r="59" spans="1:5" ht="70.5">
      <c r="A59" s="5" t="s">
        <v>549</v>
      </c>
      <c r="B59" s="5" t="s">
        <v>550</v>
      </c>
      <c r="C59" s="5" t="s">
        <v>551</v>
      </c>
      <c r="D59" s="5" t="s">
        <v>619</v>
      </c>
      <c r="E59" s="3" t="str">
        <f>HYPERLINK("https://hinodeshakyo.jpn.org/","ホームページ")</f>
        <v>ホームページ</v>
      </c>
    </row>
    <row r="60" spans="1:5">
      <c r="A60" s="5" t="s">
        <v>552</v>
      </c>
      <c r="B60" s="5" t="s">
        <v>553</v>
      </c>
      <c r="C60" s="5" t="s">
        <v>554</v>
      </c>
      <c r="D60" s="5" t="s">
        <v>620</v>
      </c>
      <c r="E60" s="3" t="str">
        <f>HYPERLINK("https://hinoharasyakyo.jimdoweb.com/","ホームページ")</f>
        <v>ホームページ</v>
      </c>
    </row>
    <row r="61" spans="1:5" ht="35.25">
      <c r="A61" s="5" t="s">
        <v>555</v>
      </c>
      <c r="B61" s="5" t="s">
        <v>556</v>
      </c>
      <c r="C61" s="5"/>
      <c r="D61" s="5" t="s">
        <v>621</v>
      </c>
      <c r="E61" s="3" t="str">
        <f>HYPERLINK("http://okusyakyo.jp/","ホームページ")</f>
        <v>ホームページ</v>
      </c>
    </row>
    <row r="62" spans="1:5" ht="70.5">
      <c r="A62" s="5" t="s">
        <v>557</v>
      </c>
      <c r="B62" s="5" t="s">
        <v>558</v>
      </c>
      <c r="C62" s="5" t="s">
        <v>559</v>
      </c>
      <c r="D62" s="5" t="s">
        <v>622</v>
      </c>
      <c r="E62" s="3" t="str">
        <f>HYPERLINK("https://www.tcsw.tvac.or.jp/tekiseika/index.html","ホームページ")</f>
        <v>ホームページ</v>
      </c>
    </row>
    <row r="63" spans="1:5" ht="52.9">
      <c r="A63" s="5" t="s">
        <v>560</v>
      </c>
      <c r="B63" s="5" t="s">
        <v>561</v>
      </c>
      <c r="C63" s="5"/>
      <c r="D63" s="5" t="s">
        <v>623</v>
      </c>
      <c r="E63" s="5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2026-09-02T09:16:45Z</dcterms:modified>
</cp:coreProperties>
</file>