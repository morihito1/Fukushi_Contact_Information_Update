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F76EE3A9-B628-4C7E-BFA7-2F323AA593A3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54" i="1"/>
  <c r="E55" i="1"/>
  <c r="E56" i="1"/>
  <c r="E42" i="1"/>
  <c r="E43" i="1"/>
  <c r="E44" i="1"/>
  <c r="E45" i="1"/>
  <c r="E46" i="1"/>
  <c r="E47" i="1"/>
  <c r="E48" i="1"/>
  <c r="E49" i="1"/>
  <c r="E50" i="1"/>
  <c r="E51" i="1"/>
  <c r="E38" i="1"/>
  <c r="E39" i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8" i="1"/>
  <c r="E9" i="1"/>
  <c r="E10" i="1"/>
  <c r="E11" i="1"/>
  <c r="E12" i="1"/>
  <c r="E4" i="1"/>
  <c r="E5" i="1"/>
  <c r="E6" i="1"/>
  <c r="E2" i="1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</calcChain>
</file>

<file path=xl/sharedStrings.xml><?xml version="1.0" encoding="utf-8"?>
<sst xmlns="http://schemas.openxmlformats.org/spreadsheetml/2006/main" count="674" uniqueCount="625">
  <si>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</si>
  <si>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</si>
  <si>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</si>
  <si>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</si>
  <si>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</si>
  <si>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</si>
  <si>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</si>
  <si>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</si>
  <si>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</si>
  <si>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</si>
  <si>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</si>
  <si>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</si>
  <si>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</si>
  <si>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</si>
  <si>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</si>
  <si>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</si>
  <si>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</si>
  <si>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</si>
  <si>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</si>
  <si>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</si>
  <si>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</si>
  <si>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</si>
  <si>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</si>
  <si>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</si>
  <si>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</si>
  <si>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</si>
  <si>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</si>
  <si>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</si>
  <si>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</si>
  <si>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</si>
  <si>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</si>
  <si>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</si>
  <si>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</si>
  <si>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</si>
  <si>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</si>
  <si>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</si>
  <si>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</si>
  <si>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</si>
  <si>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</si>
  <si>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</si>
  <si>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</si>
  <si>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</si>
  <si>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</si>
  <si>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</si>
  <si>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</si>
  <si>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</si>
  <si>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</si>
  <si>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</si>
  <si>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</si>
  <si>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</si>
  <si>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</si>
  <si>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</si>
  <si>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</si>
  <si>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</si>
  <si>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</si>
  <si>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</si>
  <si>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</si>
  <si>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</si>
  <si>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</si>
  <si>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</si>
  <si>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</si>
  <si>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</si>
  <si>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</si>
  <si>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</si>
  <si>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</si>
  <si>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</si>
  <si>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</si>
  <si>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</si>
  <si>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</si>
  <si>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</si>
  <si>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</si>
  <si>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</si>
  <si>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</si>
  <si>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</si>
  <si>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</si>
  <si>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</si>
  <si>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</si>
  <si>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</si>
  <si>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</si>
  <si>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</si>
  <si>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</si>
  <si>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</si>
  <si>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</si>
  <si>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</si>
  <si>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</si>
  <si>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</si>
  <si>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</si>
  <si>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</si>
  <si>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</si>
  <si>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</si>
  <si>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</si>
  <si>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</si>
  <si>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</si>
  <si>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</si>
  <si>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</si>
  <si>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</si>
  <si>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RETRY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</si>
  <si>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</si>
  <si>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</si>
  <si>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</si>
  <si>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</si>
  <si>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</si>
  <si>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</si>
  <si>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</si>
  <si>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</si>
  <si>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</si>
  <si>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</si>
  <si>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</si>
  <si>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</si>
  <si>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</si>
  <si>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</si>
  <si>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</si>
  <si>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</si>
  <si>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</si>
  <si>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</si>
  <si>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</si>
  <si>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</si>
  <si>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</si>
  <si>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</si>
  <si>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</si>
  <si>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</si>
  <si>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</si>
  <si>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</si>
  <si>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</si>
  <si>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</si>
  <si>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</si>
  <si>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</si>
  <si>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</si>
  <si>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</si>
  <si>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</si>
  <si>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</si>
  <si>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</si>
  <si>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</si>
  <si>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</si>
  <si>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</si>
  <si>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</si>
  <si>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</si>
  <si>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</si>
  <si>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</si>
  <si>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</si>
  <si>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</si>
  <si>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</si>
  <si>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</si>
  <si>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</si>
  <si>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</si>
  <si>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</si>
  <si>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</si>
  <si>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</si>
  <si>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</si>
  <si>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</si>
  <si>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</si>
  <si>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</si>
  <si>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</si>
  <si>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</si>
  <si>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</si>
  <si>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</si>
  <si>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</si>
  <si>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</si>
  <si>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</si>
  <si>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</si>
  <si>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</si>
  <si>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</si>
  <si>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</si>
  <si>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</si>
  <si>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</si>
  <si>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</si>
  <si>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</si>
  <si>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</si>
  <si>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</si>
  <si>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</si>
  <si>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</si>
  <si>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</si>
  <si>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</si>
  <si>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</si>
  <si>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</si>
  <si>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</si>
  <si>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</si>
  <si>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</si>
  <si>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</si>
  <si>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</si>
  <si>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</si>
  <si>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</si>
  <si>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</si>
  <si>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</si>
  <si>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</si>
  <si>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</si>
  <si>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</si>
  <si>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</si>
  <si>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</si>
  <si>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</si>
  <si>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</si>
  <si>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</si>
  <si>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</si>
  <si>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</si>
  <si>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</si>
  <si>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</si>
  <si>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</si>
  <si>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</si>
  <si>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</si>
  <si>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</si>
  <si>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</si>
  <si>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</si>
  <si>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</si>
  <si>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</si>
  <si>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</si>
  <si>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</si>
  <si>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</si>
  <si>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</si>
  <si>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</si>
  <si>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</si>
  <si>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</si>
  <si>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</si>
  <si>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</si>
  <si>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</si>
  <si>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</si>
  <si>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</si>
  <si>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</si>
  <si>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</si>
  <si>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</si>
  <si>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</si>
  <si>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</si>
  <si>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</si>
  <si>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</si>
  <si>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</si>
  <si>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</si>
  <si>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</si>
  <si>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</si>
  <si>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</si>
  <si>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</si>
  <si>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</si>
  <si>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</si>
  <si>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</si>
  <si>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</si>
  <si>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</si>
  <si>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</si>
  <si>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</si>
  <si>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</si>
  <si>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</si>
  <si>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</si>
  <si>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</si>
  <si>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</si>
  <si>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</si>
  <si>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</si>
  <si>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</si>
  <si>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</si>
  <si>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</si>
  <si>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</si>
  <si>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</si>
  <si>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</si>
  <si>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</si>
  <si>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</si>
  <si>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</si>
  <si>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</si>
  <si>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</si>
  <si>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</si>
  <si>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</si>
  <si>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</si>
  <si>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</si>
  <si>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</si>
  <si>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</si>
  <si>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</si>
  <si>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</si>
  <si>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</si>
  <si>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</si>
  <si>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</si>
  <si>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</si>
  <si>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</si>
  <si>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</si>
  <si>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</si>
  <si>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</si>
  <si>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</si>
  <si>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</si>
  <si>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</si>
  <si>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</si>
  <si>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</si>
  <si>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NG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</si>
  <si>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</si>
  <si>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</si>
  <si>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</si>
  <si>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</si>
  <si>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</si>
  <si>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</si>
  <si>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</si>
  <si>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</si>
  <si>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</si>
  <si>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</si>
  <si>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</si>
  <si>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</si>
  <si>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</si>
  <si>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</si>
  <si>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</si>
  <si>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</si>
  <si>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</si>
  <si>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</si>
  <si>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</si>
  <si>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</si>
  <si>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</si>
  <si>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</si>
  <si>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</si>
  <si>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</si>
  <si>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</si>
  <si>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</si>
  <si>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</si>
  <si>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</si>
  <si>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</si>
  <si>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</si>
  <si>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</si>
  <si>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</si>
  <si>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</si>
  <si>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</si>
  <si>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</si>
  <si>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</si>
  <si>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</si>
  <si>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</si>
  <si>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</si>
  <si>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</si>
  <si>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</si>
  <si>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</si>
  <si>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</si>
  <si>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</si>
  <si>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</si>
  <si>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</si>
  <si>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100-0003
千代田区一ツ橋1丁目1-1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</si>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</sst>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879E3-490E-4405-9434-23B45CB0035C}" name="テーブル1" displayName="テーブル1" ref="A1:F94" totalsRowShown="0" headerRowDxfId="14" dataDxfId="13">
  <autoFilter ref="A1:F94" xr:uid="{657879E3-490E-4405-9434-23B45CB0035C}"/>
  <tableColumns count="6">
    <tableColumn id="1" xr3:uid="{C82FA8BB-D274-4998-80D9-25B963BD78CE}" name="名称" dataDxfId="12"/>
    <tableColumn id="2" xr3:uid="{7C3D46C8-2A4C-4B0E-9322-7125ED822597}" name="電話" dataDxfId="11"/>
    <tableColumn id="3" xr3:uid="{B361603F-E4C1-40E6-87DF-D679AA59C3CB}" name="FAX・_x000a_メールアドレス" dataDxfId="10"/>
    <tableColumn id="4" xr3:uid="{CCA33842-5F93-42A6-92EF-173200BFEB53}" name="休日・夜間の_x000a_連絡先" dataDxfId="9"/>
    <tableColumn id="5" xr3:uid="{91F9205A-6543-4802-A9F8-8DE2F70F60B9}" name="所在地" dataDxfId="8"/>
    <tableColumn id="6" xr3:uid="{887E7250-EBF7-4070-8AD9-23ABD47D0602}" name="URL(※検索して公式ホームページか要確認※）" dataDxfId="7" dataCellStyle="ハイパーリン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BEADDB-6A13-4618-AEDD-7AF70C54BE06}" name="テーブル2" displayName="テーブル2" ref="A1:E63" totalsRowShown="0" headerRowDxfId="1" dataDxfId="0">
  <autoFilter ref="A1:E63" xr:uid="{2DBEADDB-6A13-4618-AEDD-7AF70C54BE06}"/>
  <tableColumns count="5">
    <tableColumn id="1" xr3:uid="{2D35FE07-A12B-4B22-9279-7D69AAC074DA}" name="名称" dataDxfId="6"/>
    <tableColumn id="2" xr3:uid="{59C2FBA5-079A-4DEC-87FD-48C4129BDB04}" name="電話" dataDxfId="5"/>
    <tableColumn id="3" xr3:uid="{FA0E982F-2021-4418-BF89-4194D95027C1}" name="FAX・_x000a_メールアドレス" dataDxfId="4"/>
    <tableColumn id="4" xr3:uid="{F7DBB825-C910-464A-B03F-ABB30D5B858A}" name="所在地" dataDxfId="3"/>
    <tableColumn id="5" xr3:uid="{105D597D-0FE3-47BC-AF9B-2317E40FC2F8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322</v>
      </c>
      <c r="F2" s="3" t="str">
        <f>HYPERLINK("https://hirai-luminal.or.jp/office/light/","ホームページ")</f>
        <v>ホームページ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323</v>
      </c>
      <c r="F3" s="3" t="str">
        <f>HYPERLINK("https://www.city.chuo.lg.jp/a0006/kusei/gaiyou/soshiki/fukushi/shogaisha.html","ホームページ")</f>
        <v>ホームページ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324</v>
      </c>
      <c r="F4" s="3" t="str">
        <f>HYPERLINK("https://www.city.minato.tokyo.jp/kenko/fukushi/shogaisha/madoguchi/gyakutai-b.html","ホームページ")</f>
        <v>ホームページ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325</v>
      </c>
      <c r="F5" s="3" t="str">
        <f>HYPERLINK("https://www.city.shinjuku.lg.jp/fukushi/shogai01_001052.html","ホームページ")</f>
        <v>ホームページ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326</v>
      </c>
      <c r="F6" s="3" t="str">
        <f>HYPERLINK("https://www.city.bunkyo.lg.jp/b018/p003464.html","ホームページ")</f>
        <v>ホームページ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327</v>
      </c>
      <c r="F7" s="3" t="str">
        <f>HYPERLINK("https://tmcomac.wixsite.com/taitotmcom/%E6%94%AF%E6%8F%B4%E3%82%BB%E3%83%B3%E3%82%BF%E3%83%BC%E3%81%82%E3%81%95%E3%81%8C%E3%81%8A","ホームページ")</f>
        <v>ホームページ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328</v>
      </c>
      <c r="F8" s="3" t="str">
        <f>HYPERLINK("http://www.care-net.biz/13/seihoukai-hourai/c04.php","ホームページ")</f>
        <v>ホームページ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329</v>
      </c>
      <c r="F9" s="3" t="str">
        <f>HYPERLINK("https://www.city.sumida.lg.jp/kenko_fukushi/syougai/sagetu_kaisyo/gyakutaituuhou.html","ホームページ")</f>
        <v>ホームページ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330</v>
      </c>
      <c r="F10" s="3" t="str">
        <f>HYPERLINK("https://www.city.koto.lg.jp/222065/fukushi/shogaisha/sodan/70136.html","ホームページ")</f>
        <v>ホームページ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331</v>
      </c>
      <c r="F11" s="3" t="str">
        <f>HYPERLINK("https://www.city.shinagawa.tokyo.jp/PC/kenkou/kenkou-syogai/hpg000033232.html","ホームページ")</f>
        <v>ホームページ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332</v>
      </c>
      <c r="F12" s="3" t="str">
        <f>HYPERLINK("https://www.city.meguro.tokyo.jp/shougaishien/kenkoufukushi/shougaisha/shogyakubou.html","ホームページ")</f>
        <v>ホームページ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333</v>
      </c>
      <c r="F13" s="3" t="str">
        <f>HYPERLINK("https://www.city.ota.tokyo.jp/seikatsu/fukushi/shougai/syougai_gyakutai/index.html","ホームページ")</f>
        <v>ホームページ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334</v>
      </c>
      <c r="F14" s="3" t="str">
        <f>HYPERLINK("https://www.city.setagaya.lg.jp/02200/8147.html","ホームページ")</f>
        <v>ホームページ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335</v>
      </c>
      <c r="F15" s="3" t="str">
        <f>HYPERLINK("https://www.city.setagaya.lg.jp/02207/8162.html","ホームページ")</f>
        <v>ホームページ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336</v>
      </c>
      <c r="F16" s="3" t="str">
        <f>HYPERLINK("https://www.city.setagaya.lg.jp/02214/8180.html","ホームページ")</f>
        <v>ホームページ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337</v>
      </c>
      <c r="F17" s="3" t="str">
        <f>HYPERLINK("https://www.city.setagaya.lg.jp/02221/8197.html","ホームページ")</f>
        <v>ホームページ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338</v>
      </c>
      <c r="F18" s="3" t="str">
        <f>HYPERLINK("https://www.city.setagaya.lg.jp/02228/8215.html","ホームページ")</f>
        <v>ホームページ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339</v>
      </c>
      <c r="F19" s="3" t="str">
        <f>HYPERLINK("https://www.city.shibuya.tokyo.jp/kenko/shogai-seikatsu/kenri/gyakutaiboushi.html","ホームページ")</f>
        <v>ホームページ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340</v>
      </c>
      <c r="F20" s="3" t="str">
        <f>HYPERLINK("https://www.city.tokyo-nakano.lg.jp/ku-soshiki/kenkofukushibu/syogaifukushika.html","ホームページ")</f>
        <v>ホームページ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341</v>
      </c>
      <c r="F21" s="3" t="str">
        <f>HYPERLINK("https://www.city.suginami.tokyo.jp/s036/10304.html","ホームページ")</f>
        <v>ホームページ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342</v>
      </c>
      <c r="F22" s="3" t="str">
        <f>HYPERLINK("https://www.city.toshima.lg.jp/175/1903140941.html","ホームページ")</f>
        <v>ホームページ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343</v>
      </c>
      <c r="F23" s="3" t="str">
        <f>HYPERLINK("https://www.city.kita.lg.jp/socialcare-health/disabilities/1008744/1008777.html","ホームページ")</f>
        <v>ホームページ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344</v>
      </c>
      <c r="F24" s="3" t="str">
        <f>HYPERLINK("https://www.city.arakawa.tokyo.jp/a030/shougaisha/soudammadoguchi/fukushika.html","ホームページ")</f>
        <v>ホームページ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345</v>
      </c>
      <c r="F25" s="2" t="s">
        <v>96</v>
      </c>
    </row>
    <row r="26" spans="1:6" ht="35.25">
      <c r="A26" s="2" t="s">
        <v>97</v>
      </c>
      <c r="B26" s="2" t="s">
        <v>98</v>
      </c>
      <c r="C26" s="2" t="s">
        <v>99</v>
      </c>
      <c r="D26" s="2"/>
      <c r="E26" s="2" t="s">
        <v>346</v>
      </c>
      <c r="F26" s="3" t="str">
        <f>HYPERLINK("https://www.city.itabashi.tokyo.jp/kusei/soshiki/fukushi/1021920.html","ホームページ")</f>
        <v>ホームページ</v>
      </c>
    </row>
    <row r="27" spans="1:6" ht="52.9">
      <c r="A27" s="2" t="s">
        <v>100</v>
      </c>
      <c r="B27" s="2" t="s">
        <v>101</v>
      </c>
      <c r="C27" s="2"/>
      <c r="D27" s="2"/>
      <c r="E27" s="2" t="s">
        <v>346</v>
      </c>
      <c r="F27" s="3" t="str">
        <f>HYPERLINK("https://www.city.itabashi.tokyo.jp/kusei/soshiki/fukushi/1021920.html","ホームページ")</f>
        <v>ホームページ</v>
      </c>
    </row>
    <row r="28" spans="1:6" ht="52.9">
      <c r="A28" s="2" t="s">
        <v>102</v>
      </c>
      <c r="B28" s="2" t="s">
        <v>103</v>
      </c>
      <c r="C28" s="2"/>
      <c r="D28" s="2"/>
      <c r="E28" s="2" t="s">
        <v>347</v>
      </c>
      <c r="F28" s="3" t="str">
        <f>HYPERLINK("https://www.city.itabashi.tokyo.jp/kusei/soshiki/fukushi/1021920.html","ホームページ")</f>
        <v>ホームページ</v>
      </c>
    </row>
    <row r="29" spans="1:6" ht="52.9">
      <c r="A29" s="2" t="s">
        <v>104</v>
      </c>
      <c r="B29" s="2" t="s">
        <v>105</v>
      </c>
      <c r="C29" s="2"/>
      <c r="D29" s="2"/>
      <c r="E29" s="2" t="s">
        <v>348</v>
      </c>
      <c r="F29" s="3" t="str">
        <f>HYPERLINK("https://www.city.itabashi.tokyo.jp/kusei/soshiki/fukushi/1021920.html","ホームページ")</f>
        <v>ホームページ</v>
      </c>
    </row>
    <row r="30" spans="1:6" ht="35.25">
      <c r="A30" s="2" t="s">
        <v>106</v>
      </c>
      <c r="B30" s="2" t="s">
        <v>107</v>
      </c>
      <c r="C30" s="2"/>
      <c r="D30" s="2"/>
      <c r="E30" s="2" t="s">
        <v>349</v>
      </c>
      <c r="F30" s="3" t="str">
        <f>HYPERLINK("https://www.city.itabashi.tokyo.jp/kenko/soudan/kokoro/1002489.html","ホームページ")</f>
        <v>ホームページ</v>
      </c>
    </row>
    <row r="31" spans="1:6" ht="35.25">
      <c r="A31" s="2" t="s">
        <v>108</v>
      </c>
      <c r="B31" s="2" t="s">
        <v>109</v>
      </c>
      <c r="C31" s="2"/>
      <c r="D31" s="2"/>
      <c r="E31" s="2" t="s">
        <v>350</v>
      </c>
      <c r="F31" s="3" t="str">
        <f>HYPERLINK("https://www.city.itabashi.tokyo.jp/kenko/soudan/madoguchi/1002459.html","ホームページ")</f>
        <v>ホームページ</v>
      </c>
    </row>
    <row r="32" spans="1:6" ht="35.25">
      <c r="A32" s="2" t="s">
        <v>110</v>
      </c>
      <c r="B32" s="2" t="s">
        <v>111</v>
      </c>
      <c r="C32" s="2"/>
      <c r="D32" s="2"/>
      <c r="E32" s="2" t="s">
        <v>347</v>
      </c>
      <c r="F32" s="3" t="str">
        <f>HYPERLINK("https://www.city.itabashi.tokyo.jp/kenko/soudan/kokoro/1002489.html","ホームページ")</f>
        <v>ホームページ</v>
      </c>
    </row>
    <row r="33" spans="1:6" ht="35.25">
      <c r="A33" s="2" t="s">
        <v>112</v>
      </c>
      <c r="B33" s="2" t="s">
        <v>113</v>
      </c>
      <c r="C33" s="2"/>
      <c r="D33" s="2"/>
      <c r="E33" s="2" t="s">
        <v>348</v>
      </c>
      <c r="F33" s="3" t="str">
        <f>HYPERLINK("https://www.city.itabashi.tokyo.jp/kenko/soudan/madoguchi/1002459.html","ホームページ")</f>
        <v>ホームページ</v>
      </c>
    </row>
    <row r="34" spans="1:6" ht="35.25">
      <c r="A34" s="2" t="s">
        <v>114</v>
      </c>
      <c r="B34" s="2" t="s">
        <v>115</v>
      </c>
      <c r="C34" s="2"/>
      <c r="D34" s="2"/>
      <c r="E34" s="2" t="s">
        <v>351</v>
      </c>
      <c r="F34" s="3" t="str">
        <f>HYPERLINK("https://www.city.itabashi.tokyo.jp/kenko/soudan/madoguchi/1002459.html","ホームページ")</f>
        <v>ホームページ</v>
      </c>
    </row>
    <row r="35" spans="1:6" ht="70.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352</v>
      </c>
      <c r="F35" s="3" t="str">
        <f>HYPERLINK("https://www.city.nerima.tokyo.jp/hokenfukushi/shogai/sodan/gyakutaibousi.html","ホームページ")</f>
        <v>ホームページ</v>
      </c>
    </row>
    <row r="36" spans="1:6" ht="52.9">
      <c r="A36" s="2" t="s">
        <v>120</v>
      </c>
      <c r="B36" s="2" t="s">
        <v>121</v>
      </c>
      <c r="C36" s="2" t="s">
        <v>122</v>
      </c>
      <c r="D36" s="2" t="s">
        <v>123</v>
      </c>
      <c r="E36" s="2" t="s">
        <v>353</v>
      </c>
      <c r="F36" s="3" t="str">
        <f>HYPERLINK("https://www.city.adachi.tokyo.jp/shogai/gyakutai.html","ホームページ")</f>
        <v>ホームページ</v>
      </c>
    </row>
    <row r="37" spans="1:6" ht="52.9">
      <c r="A37" s="2" t="s">
        <v>124</v>
      </c>
      <c r="B37" s="2" t="s">
        <v>125</v>
      </c>
      <c r="C37" s="2" t="s">
        <v>122</v>
      </c>
      <c r="D37" s="2" t="s">
        <v>123</v>
      </c>
      <c r="E37" s="2" t="s">
        <v>353</v>
      </c>
      <c r="F37" s="3" t="str">
        <f>HYPERLINK("https://www.city.adachi.tokyo.jp/s-engo/kennriyougo.html","ホームページ")</f>
        <v>ホームページ</v>
      </c>
    </row>
    <row r="38" spans="1:6" ht="35.25">
      <c r="A38" s="2" t="s">
        <v>126</v>
      </c>
      <c r="B38" s="2" t="s">
        <v>127</v>
      </c>
      <c r="C38" s="2" t="s">
        <v>128</v>
      </c>
      <c r="D38" s="2" t="s">
        <v>123</v>
      </c>
      <c r="E38" s="2" t="s">
        <v>354</v>
      </c>
      <c r="F38" s="3" t="str">
        <f>HYPERLINK("https://www.city.adachi.tokyo.jp/shogai-c/fukushi-kenko/shinshin/sikaku.html","ホームページ")</f>
        <v>ホームページ</v>
      </c>
    </row>
    <row r="39" spans="1:6" ht="52.9">
      <c r="A39" s="2" t="s">
        <v>129</v>
      </c>
      <c r="B39" s="2" t="s">
        <v>130</v>
      </c>
      <c r="C39" s="2" t="s">
        <v>122</v>
      </c>
      <c r="D39" s="2" t="s">
        <v>123</v>
      </c>
      <c r="E39" s="2" t="s">
        <v>353</v>
      </c>
      <c r="F39" s="3" t="str">
        <f t="shared" ref="F39:F44" si="0">HYPERLINK("https://www.city.adachi.tokyo.jp/s-engo/engogakari2024.html","ホームページ")</f>
        <v>ホームページ</v>
      </c>
    </row>
    <row r="40" spans="1:6" ht="52.9">
      <c r="A40" s="2" t="s">
        <v>131</v>
      </c>
      <c r="B40" s="2" t="s">
        <v>132</v>
      </c>
      <c r="C40" s="2" t="s">
        <v>122</v>
      </c>
      <c r="D40" s="2" t="s">
        <v>123</v>
      </c>
      <c r="E40" s="2" t="s">
        <v>353</v>
      </c>
      <c r="F40" s="3" t="str">
        <f t="shared" si="0"/>
        <v>ホームページ</v>
      </c>
    </row>
    <row r="41" spans="1:6" ht="52.9">
      <c r="A41" s="2" t="s">
        <v>133</v>
      </c>
      <c r="B41" s="2" t="s">
        <v>134</v>
      </c>
      <c r="C41" s="2" t="s">
        <v>135</v>
      </c>
      <c r="D41" s="2" t="s">
        <v>123</v>
      </c>
      <c r="E41" s="2" t="s">
        <v>355</v>
      </c>
      <c r="F41" s="3" t="str">
        <f t="shared" si="0"/>
        <v>ホームページ</v>
      </c>
    </row>
    <row r="42" spans="1:6" ht="52.9">
      <c r="A42" s="2" t="s">
        <v>136</v>
      </c>
      <c r="B42" s="2" t="s">
        <v>137</v>
      </c>
      <c r="C42" s="2" t="s">
        <v>138</v>
      </c>
      <c r="D42" s="2" t="s">
        <v>123</v>
      </c>
      <c r="E42" s="2" t="s">
        <v>356</v>
      </c>
      <c r="F42" s="3" t="str">
        <f t="shared" si="0"/>
        <v>ホームページ</v>
      </c>
    </row>
    <row r="43" spans="1:6" ht="52.9">
      <c r="A43" s="2" t="s">
        <v>139</v>
      </c>
      <c r="B43" s="2" t="s">
        <v>140</v>
      </c>
      <c r="C43" s="2" t="s">
        <v>141</v>
      </c>
      <c r="D43" s="2" t="s">
        <v>123</v>
      </c>
      <c r="E43" s="2" t="s">
        <v>357</v>
      </c>
      <c r="F43" s="3" t="str">
        <f t="shared" si="0"/>
        <v>ホームページ</v>
      </c>
    </row>
    <row r="44" spans="1:6" ht="52.9">
      <c r="A44" s="2" t="s">
        <v>142</v>
      </c>
      <c r="B44" s="2" t="s">
        <v>143</v>
      </c>
      <c r="C44" s="2" t="s">
        <v>144</v>
      </c>
      <c r="D44" s="2" t="s">
        <v>123</v>
      </c>
      <c r="E44" s="2" t="s">
        <v>358</v>
      </c>
      <c r="F44" s="3" t="str">
        <f t="shared" si="0"/>
        <v>ホームページ</v>
      </c>
    </row>
    <row r="45" spans="1:6" ht="52.9">
      <c r="A45" s="2" t="s">
        <v>145</v>
      </c>
      <c r="B45" s="2" t="s">
        <v>146</v>
      </c>
      <c r="C45" s="2" t="s">
        <v>147</v>
      </c>
      <c r="D45" s="2" t="s">
        <v>123</v>
      </c>
      <c r="E45" s="2" t="s">
        <v>359</v>
      </c>
      <c r="F45" s="3" t="str">
        <f>HYPERLINK("https://www.city.adachi.tokyo.jp/chuo-h/chuuouhonchou.html","ホームページ")</f>
        <v>ホームページ</v>
      </c>
    </row>
    <row r="46" spans="1:6" ht="70.5">
      <c r="A46" s="2" t="s">
        <v>148</v>
      </c>
      <c r="B46" s="2" t="s">
        <v>149</v>
      </c>
      <c r="C46" s="2" t="s">
        <v>150</v>
      </c>
      <c r="D46" s="2" t="s">
        <v>123</v>
      </c>
      <c r="E46" s="2" t="s">
        <v>360</v>
      </c>
      <c r="F46" s="3" t="str">
        <f>HYPERLINK("https://www.city.adachi.tokyo.jp/takenotsuka-h/shisetsu/take-f1.html","ホームページ")</f>
        <v>ホームページ</v>
      </c>
    </row>
    <row r="47" spans="1:6" ht="35.25">
      <c r="A47" s="2" t="s">
        <v>151</v>
      </c>
      <c r="B47" s="2" t="s">
        <v>152</v>
      </c>
      <c r="C47" s="2" t="s">
        <v>153</v>
      </c>
      <c r="D47" s="2" t="s">
        <v>123</v>
      </c>
      <c r="E47" s="2" t="s">
        <v>361</v>
      </c>
      <c r="F47" s="3" t="str">
        <f>HYPERLINK("https://www.city.adachi.tokyo.jp/kohoku-h/202503212121.html","ホームページ")</f>
        <v>ホームページ</v>
      </c>
    </row>
    <row r="48" spans="1:6" ht="35.25">
      <c r="A48" s="2" t="s">
        <v>154</v>
      </c>
      <c r="B48" s="2" t="s">
        <v>155</v>
      </c>
      <c r="C48" s="2" t="s">
        <v>156</v>
      </c>
      <c r="D48" s="2" t="s">
        <v>123</v>
      </c>
      <c r="E48" s="2" t="s">
        <v>362</v>
      </c>
      <c r="F48" s="3" t="str">
        <f>HYPERLINK("https://www.city.adachi.tokyo.jp/senju-h/2026mainpage.html","ホームページ")</f>
        <v>ホームページ</v>
      </c>
    </row>
    <row r="49" spans="1:6" ht="35.25">
      <c r="A49" s="2" t="s">
        <v>157</v>
      </c>
      <c r="B49" s="2" t="s">
        <v>158</v>
      </c>
      <c r="C49" s="2" t="s">
        <v>159</v>
      </c>
      <c r="D49" s="2" t="s">
        <v>123</v>
      </c>
      <c r="E49" s="2" t="s">
        <v>363</v>
      </c>
      <c r="F49" s="3" t="str">
        <f>HYPERLINK("https://www.city.adachi.tokyo.jp/towa-h/shisetsu/tobu-f1.html","ホームページ")</f>
        <v>ホームページ</v>
      </c>
    </row>
    <row r="50" spans="1:6" ht="35.25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364</v>
      </c>
      <c r="F50" s="3" t="str">
        <f>HYPERLINK("https://www.city.katsushika.lg.jp/kenkou/1000053/1030192/1002253.html","ホームページ")</f>
        <v>ホームページ</v>
      </c>
    </row>
    <row r="51" spans="1:6" ht="35.25">
      <c r="A51" s="2" t="s">
        <v>164</v>
      </c>
      <c r="B51" s="2" t="s">
        <v>165</v>
      </c>
      <c r="C51" s="2" t="s">
        <v>166</v>
      </c>
      <c r="D51" s="2" t="s">
        <v>167</v>
      </c>
      <c r="E51" s="2" t="s">
        <v>365</v>
      </c>
      <c r="F51" s="3" t="str">
        <f>HYPERLINK("https://www.city.edogawa.tokyo.jp/e041/kenko/fukushikaigo/shogaisha/sodan/madoguchi.html","ホームページ")</f>
        <v>ホームページ</v>
      </c>
    </row>
    <row r="52" spans="1:6" ht="52.9">
      <c r="A52" s="2" t="s">
        <v>168</v>
      </c>
      <c r="B52" s="2" t="s">
        <v>169</v>
      </c>
      <c r="C52" s="2" t="s">
        <v>170</v>
      </c>
      <c r="D52" s="2" t="s">
        <v>171</v>
      </c>
      <c r="E52" s="2" t="s">
        <v>366</v>
      </c>
      <c r="F52" s="3" t="str">
        <f>HYPERLINK("https://www.city.hachioji.tokyo.jp/kurashi/welfare/005/010/p004340.html","ホームページ")</f>
        <v>ホームページ</v>
      </c>
    </row>
    <row r="53" spans="1:6" ht="70.5">
      <c r="A53" s="2" t="s">
        <v>172</v>
      </c>
      <c r="B53" s="2" t="s">
        <v>173</v>
      </c>
      <c r="C53" s="2" t="s">
        <v>174</v>
      </c>
      <c r="D53" s="2" t="s">
        <v>173</v>
      </c>
      <c r="E53" s="2" t="s">
        <v>367</v>
      </c>
      <c r="F53" s="3" t="str">
        <f>HYPERLINK("https://www.tachikawa-shakyo.or.jp/business-guide/core_support_center/","ホームページ")</f>
        <v>ホームページ</v>
      </c>
    </row>
    <row r="54" spans="1:6" ht="35.25">
      <c r="A54" s="2" t="s">
        <v>175</v>
      </c>
      <c r="B54" s="2" t="s">
        <v>176</v>
      </c>
      <c r="C54" s="2" t="s">
        <v>177</v>
      </c>
      <c r="D54" s="2"/>
      <c r="E54" s="2" t="s">
        <v>368</v>
      </c>
      <c r="F54" s="3" t="str">
        <f>HYPERLINK("https://www.city.tachikawa.lg.jp/shisei/gaiyo/1005932/1023642/1023721.html","ホームページ")</f>
        <v>ホームページ</v>
      </c>
    </row>
    <row r="55" spans="1:6" ht="70.5">
      <c r="A55" s="2" t="s">
        <v>178</v>
      </c>
      <c r="B55" s="2" t="s">
        <v>179</v>
      </c>
      <c r="C55" s="2" t="s">
        <v>180</v>
      </c>
      <c r="D55" s="2" t="s">
        <v>179</v>
      </c>
      <c r="E55" s="2" t="s">
        <v>369</v>
      </c>
      <c r="F55" s="3" t="str">
        <f>HYPERLINK("https://www.city.musashino.lg.jp/kenko_fukushi/shogaisha_fukushi/sodan/1006666.html","ホームページ")</f>
        <v>ホームページ</v>
      </c>
    </row>
    <row r="56" spans="1:6" ht="52.9">
      <c r="A56" s="2" t="s">
        <v>181</v>
      </c>
      <c r="B56" s="2" t="s">
        <v>182</v>
      </c>
      <c r="C56" s="2" t="s">
        <v>183</v>
      </c>
      <c r="D56" s="2" t="s">
        <v>184</v>
      </c>
      <c r="E56" s="2" t="s">
        <v>370</v>
      </c>
      <c r="F56" s="3" t="str">
        <f>HYPERLINK("https://www.city.mitaka.lg.jp/c_service/063/063602.html","ホームページ")</f>
        <v>ホームページ</v>
      </c>
    </row>
    <row r="57" spans="1:6" ht="52.9">
      <c r="A57" s="2" t="s">
        <v>185</v>
      </c>
      <c r="B57" s="2" t="s">
        <v>186</v>
      </c>
      <c r="C57" s="2" t="s">
        <v>187</v>
      </c>
      <c r="D57" s="2" t="s">
        <v>188</v>
      </c>
      <c r="E57" s="2" t="s">
        <v>371</v>
      </c>
      <c r="F57" s="3" t="str">
        <f>HYPERLINK("https://oume-support-center.amebaownd.com/","ホームページ")</f>
        <v>ホームページ</v>
      </c>
    </row>
    <row r="58" spans="1:6" ht="35.25">
      <c r="A58" s="2" t="s">
        <v>189</v>
      </c>
      <c r="B58" s="2" t="s">
        <v>190</v>
      </c>
      <c r="C58" s="2" t="s">
        <v>191</v>
      </c>
      <c r="D58" s="2" t="s">
        <v>192</v>
      </c>
      <c r="E58" s="2" t="s">
        <v>372</v>
      </c>
      <c r="F58" s="3" t="str">
        <f>HYPERLINK("https://www.city.ome.tokyo.jp/soshiki/31/","ホームページ")</f>
        <v>ホームページ</v>
      </c>
    </row>
    <row r="59" spans="1:6" ht="52.9">
      <c r="A59" s="2" t="s">
        <v>193</v>
      </c>
      <c r="B59" s="2" t="s">
        <v>194</v>
      </c>
      <c r="C59" s="2" t="s">
        <v>195</v>
      </c>
      <c r="D59" s="2" t="s">
        <v>196</v>
      </c>
      <c r="E59" s="2" t="s">
        <v>373</v>
      </c>
      <c r="F59" s="3" t="str">
        <f>HYPERLINK("https://www.city.fuchu.tokyo.jp/kenko/shogai/syougaigyakutai.html","ホームページ")</f>
        <v>ホームページ</v>
      </c>
    </row>
    <row r="60" spans="1:6" ht="70.5">
      <c r="A60" s="2" t="s">
        <v>197</v>
      </c>
      <c r="B60" s="2" t="s">
        <v>198</v>
      </c>
      <c r="C60" s="2" t="s">
        <v>199</v>
      </c>
      <c r="D60" s="2" t="s">
        <v>198</v>
      </c>
      <c r="E60" s="2" t="s">
        <v>374</v>
      </c>
      <c r="F60" s="3" t="str">
        <f>HYPERLINK("https://www.city.akishima.lg.jp/kenko/shogai/1008339/1003338/1003339.html","ホームページ")</f>
        <v>ホームページ</v>
      </c>
    </row>
    <row r="61" spans="1:6" ht="35.25">
      <c r="A61" s="2" t="s">
        <v>200</v>
      </c>
      <c r="B61" s="2" t="s">
        <v>201</v>
      </c>
      <c r="C61" s="2" t="s">
        <v>202</v>
      </c>
      <c r="D61" s="2" t="s">
        <v>203</v>
      </c>
      <c r="E61" s="2" t="s">
        <v>375</v>
      </c>
      <c r="F61" s="3" t="str">
        <f>HYPERLINK("https://www.city.chofu.lg.jp/010040/p003232.html","ホームページ")</f>
        <v>ホームページ</v>
      </c>
    </row>
    <row r="62" spans="1:6" ht="52.9">
      <c r="A62" s="2" t="s">
        <v>204</v>
      </c>
      <c r="B62" s="2" t="s">
        <v>205</v>
      </c>
      <c r="C62" s="2" t="s">
        <v>206</v>
      </c>
      <c r="D62" s="2" t="s">
        <v>207</v>
      </c>
      <c r="E62" s="2" t="s">
        <v>376</v>
      </c>
      <c r="F62" s="3" t="str">
        <f>HYPERLINK("https://www.city.machida.tokyo.jp/iryo/syougai_hukushi/nitijoseikatsushien/sodan/syougaisyagyakutaiboushi.html","ホームページ")</f>
        <v>ホームページ</v>
      </c>
    </row>
    <row r="63" spans="1:6" ht="35.25">
      <c r="A63" s="2" t="s">
        <v>208</v>
      </c>
      <c r="B63" s="2" t="s">
        <v>209</v>
      </c>
      <c r="C63" s="2" t="s">
        <v>210</v>
      </c>
      <c r="D63" s="2" t="s">
        <v>209</v>
      </c>
      <c r="E63" s="2" t="s">
        <v>377</v>
      </c>
      <c r="F63" s="3" t="str">
        <f>HYPERLINK("https://www.city.koganei.lg.jp/kenkofukuhsi/shogaishafukushi/soudannmadoguchi/20130611.html","ホームページ")</f>
        <v>ホームページ</v>
      </c>
    </row>
    <row r="64" spans="1:6" ht="70.5">
      <c r="A64" s="2" t="s">
        <v>211</v>
      </c>
      <c r="B64" s="2" t="s">
        <v>212</v>
      </c>
      <c r="C64" s="2" t="s">
        <v>213</v>
      </c>
      <c r="D64" s="2" t="s">
        <v>214</v>
      </c>
      <c r="E64" s="2" t="s">
        <v>378</v>
      </c>
      <c r="F64" s="3" t="str">
        <f>HYPERLINK("https://www.city.kodaira.tokyo.jp/sections/syogai/index.html","ホームページ")</f>
        <v>ホームページ</v>
      </c>
    </row>
    <row r="65" spans="1:6" ht="35.25">
      <c r="A65" s="2" t="s">
        <v>215</v>
      </c>
      <c r="B65" s="2" t="s">
        <v>216</v>
      </c>
      <c r="C65" s="2" t="s">
        <v>217</v>
      </c>
      <c r="D65" s="2" t="s">
        <v>218</v>
      </c>
      <c r="E65" s="2" t="s">
        <v>379</v>
      </c>
      <c r="F65" s="3" t="str">
        <f>HYPERLINK("https://www.city.hino.lg.jp/shisei/profile/soshiki/kankofukushi/1004708.html","ホームページ")</f>
        <v>ホームページ</v>
      </c>
    </row>
    <row r="66" spans="1:6" ht="52.9">
      <c r="A66" s="2" t="s">
        <v>219</v>
      </c>
      <c r="B66" s="2" t="s">
        <v>220</v>
      </c>
      <c r="C66" s="2" t="s">
        <v>221</v>
      </c>
      <c r="D66" s="2" t="s">
        <v>220</v>
      </c>
      <c r="E66" s="2" t="s">
        <v>380</v>
      </c>
      <c r="F66" s="3" t="str">
        <f>HYPERLINK("https://www.city.higashimurayama.tokyo.jp/shisei/soshiki/kenkofukushi/shogaishien/index.html","ホームページ")</f>
        <v>ホームページ</v>
      </c>
    </row>
    <row r="67" spans="1:6" ht="35.25">
      <c r="A67" s="2" t="s">
        <v>222</v>
      </c>
      <c r="B67" s="2" t="s">
        <v>223</v>
      </c>
      <c r="C67" s="2" t="s">
        <v>224</v>
      </c>
      <c r="D67" s="2" t="s">
        <v>220</v>
      </c>
      <c r="E67" s="2" t="s">
        <v>381</v>
      </c>
      <c r="F67" s="3" t="str">
        <f>HYPERLINK("https://hm-shakyo.or.jp/service/consul/consul_disability/20210512_13.html","ホームページ")</f>
        <v>ホームページ</v>
      </c>
    </row>
    <row r="68" spans="1:6" ht="52.9">
      <c r="A68" s="2" t="s">
        <v>225</v>
      </c>
      <c r="B68" s="2" t="s">
        <v>226</v>
      </c>
      <c r="C68" s="2" t="s">
        <v>227</v>
      </c>
      <c r="D68" s="2" t="s">
        <v>228</v>
      </c>
      <c r="E68" s="2" t="s">
        <v>382</v>
      </c>
      <c r="F68" s="3" t="str">
        <f>HYPERLINK("https://www.city.kokubunji.tokyo.jp/kenkou-fukushi/syougaishien/1011462/1001602.html","ホームページ")</f>
        <v>ホームページ</v>
      </c>
    </row>
    <row r="69" spans="1:6" ht="52.9">
      <c r="A69" s="2" t="s">
        <v>229</v>
      </c>
      <c r="B69" s="2" t="s">
        <v>230</v>
      </c>
      <c r="C69" s="2" t="s">
        <v>231</v>
      </c>
      <c r="D69" s="2" t="s">
        <v>232</v>
      </c>
      <c r="E69" s="2" t="s">
        <v>383</v>
      </c>
      <c r="F69" s="3" t="str">
        <f>HYPERLINK("https://www.city.kunitachi.tokyo.jp/soshiki/Dept03/Div02/Sec02/index.html","ホームページ")</f>
        <v>ホームページ</v>
      </c>
    </row>
    <row r="70" spans="1:6" ht="35.25">
      <c r="A70" s="2" t="s">
        <v>233</v>
      </c>
      <c r="B70" s="2" t="s">
        <v>234</v>
      </c>
      <c r="C70" s="2" t="s">
        <v>235</v>
      </c>
      <c r="D70" s="2" t="s">
        <v>236</v>
      </c>
      <c r="E70" s="2" t="s">
        <v>384</v>
      </c>
      <c r="F70" s="3" t="str">
        <f>HYPERLINK("https://www.city.fussa.tokyo.jp/municipal/soshiki/annai/fukushihoken/1004409.html","ホームページ")</f>
        <v>ホームページ</v>
      </c>
    </row>
    <row r="71" spans="1:6" ht="70.5">
      <c r="A71" s="2" t="s">
        <v>237</v>
      </c>
      <c r="B71" s="2" t="s">
        <v>238</v>
      </c>
      <c r="C71" s="2" t="s">
        <v>239</v>
      </c>
      <c r="D71" s="2" t="s">
        <v>240</v>
      </c>
      <c r="E71" s="2" t="s">
        <v>385</v>
      </c>
      <c r="F71" s="3" t="str">
        <f>HYPERLINK("https://www.city.komae.tokyo.jp/index.cfm/46,62434,360,2157,html","ホームページ")</f>
        <v>ホームページ</v>
      </c>
    </row>
    <row r="72" spans="1:6" ht="52.9">
      <c r="A72" s="2" t="s">
        <v>241</v>
      </c>
      <c r="B72" s="2" t="s">
        <v>242</v>
      </c>
      <c r="C72" s="2" t="s">
        <v>243</v>
      </c>
      <c r="D72" s="2" t="s">
        <v>242</v>
      </c>
      <c r="E72" s="2" t="s">
        <v>386</v>
      </c>
      <c r="F72" s="3" t="str">
        <f>HYPERLINK("https://www.city.higashiyamato.lg.jp/shisei/soshiki/1004193/1010768/1010771.html","ホームページ")</f>
        <v>ホームページ</v>
      </c>
    </row>
    <row r="73" spans="1:6" ht="35.25">
      <c r="A73" s="2" t="s">
        <v>244</v>
      </c>
      <c r="B73" s="2" t="s">
        <v>245</v>
      </c>
      <c r="C73" s="2" t="s">
        <v>246</v>
      </c>
      <c r="D73" s="2" t="s">
        <v>247</v>
      </c>
      <c r="E73" s="2" t="s">
        <v>387</v>
      </c>
      <c r="F73" s="3" t="str">
        <f>HYPERLINK("https://www.city.kiyose.lg.jp/siseijouhou/sosikisigoto/kakukagoannai/1005095.html","ホームページ")</f>
        <v>ホームページ</v>
      </c>
    </row>
    <row r="74" spans="1:6" ht="52.9">
      <c r="A74" s="2" t="s">
        <v>248</v>
      </c>
      <c r="B74" s="2" t="s">
        <v>249</v>
      </c>
      <c r="C74" s="2" t="s">
        <v>250</v>
      </c>
      <c r="D74" s="2" t="s">
        <v>251</v>
      </c>
      <c r="E74" s="2" t="s">
        <v>388</v>
      </c>
      <c r="F74" s="3" t="str">
        <f>HYPERLINK("https://www.city.higashikurume.lg.jp/shisei/shiyakusho/gyoumu/fukushihoken/1003649.html","ホームページ")</f>
        <v>ホームページ</v>
      </c>
    </row>
    <row r="75" spans="1:6" ht="52.9">
      <c r="A75" s="2" t="s">
        <v>252</v>
      </c>
      <c r="B75" s="2" t="s">
        <v>253</v>
      </c>
      <c r="C75" s="2" t="s">
        <v>254</v>
      </c>
      <c r="D75" s="2" t="s">
        <v>255</v>
      </c>
      <c r="E75" s="2" t="s">
        <v>389</v>
      </c>
      <c r="F75" s="3" t="str">
        <f>HYPERLINK("https://www.city.musashimurayama.lg.jp/kurashi/shougai/1012129/gyakutaiboushi/1000733.html","ホームページ")</f>
        <v>ホームページ</v>
      </c>
    </row>
    <row r="76" spans="1:6" ht="35.25">
      <c r="A76" s="2" t="s">
        <v>256</v>
      </c>
      <c r="B76" s="2" t="s">
        <v>257</v>
      </c>
      <c r="C76" s="2" t="s">
        <v>258</v>
      </c>
      <c r="D76" s="2" t="s">
        <v>259</v>
      </c>
      <c r="E76" s="2" t="s">
        <v>390</v>
      </c>
      <c r="F76" s="3" t="str">
        <f>HYPERLINK("https://www.city.tama.lg.jp/kenkofukushi/1008237/shoigai/soudan/1018683.html","ホームページ")</f>
        <v>ホームページ</v>
      </c>
    </row>
    <row r="77" spans="1:6" ht="52.9">
      <c r="A77" s="2" t="s">
        <v>260</v>
      </c>
      <c r="B77" s="2" t="s">
        <v>261</v>
      </c>
      <c r="C77" s="2" t="s">
        <v>262</v>
      </c>
      <c r="D77" s="2" t="s">
        <v>263</v>
      </c>
      <c r="E77" s="2" t="s">
        <v>391</v>
      </c>
      <c r="F77" s="3" t="str">
        <f>HYPERLINK("https://www.city.inagi.tokyo.jp/shisei/gyoumu/1005960/1005983/1005986.html","ホームページ")</f>
        <v>ホームページ</v>
      </c>
    </row>
    <row r="78" spans="1:6" ht="52.9">
      <c r="A78" s="2" t="s">
        <v>264</v>
      </c>
      <c r="B78" s="2" t="s">
        <v>265</v>
      </c>
      <c r="C78" s="2" t="s">
        <v>266</v>
      </c>
      <c r="D78" s="2" t="s">
        <v>267</v>
      </c>
      <c r="E78" s="2" t="s">
        <v>392</v>
      </c>
      <c r="F78" s="3" t="str">
        <f>HYPERLINK("https://www.city.hamura.tokyo.jp/soshiki/5-2-0-0-0_1.html","ホームページ")</f>
        <v>ホームページ</v>
      </c>
    </row>
    <row r="79" spans="1:6" ht="52.9">
      <c r="A79" s="2" t="s">
        <v>268</v>
      </c>
      <c r="B79" s="2" t="s">
        <v>269</v>
      </c>
      <c r="C79" s="2" t="s">
        <v>270</v>
      </c>
      <c r="D79" s="2" t="s">
        <v>271</v>
      </c>
      <c r="E79" s="2" t="s">
        <v>393</v>
      </c>
      <c r="F79" s="3" t="str">
        <f>HYPERLINK("https://www.city.akiruno.tokyo.jp/0000004391.html","ホームページ")</f>
        <v>ホームページ</v>
      </c>
    </row>
    <row r="80" spans="1:6" ht="35.25">
      <c r="A80" s="2" t="s">
        <v>272</v>
      </c>
      <c r="B80" s="2" t="s">
        <v>273</v>
      </c>
      <c r="C80" s="2" t="s">
        <v>274</v>
      </c>
      <c r="D80" s="2"/>
      <c r="E80" s="2" t="s">
        <v>394</v>
      </c>
      <c r="F80" s="2" t="s">
        <v>275</v>
      </c>
    </row>
    <row r="81" spans="1:6" ht="70.5">
      <c r="A81" s="2" t="s">
        <v>276</v>
      </c>
      <c r="B81" s="2" t="s">
        <v>277</v>
      </c>
      <c r="C81" s="2" t="s">
        <v>278</v>
      </c>
      <c r="D81" s="2" t="s">
        <v>279</v>
      </c>
      <c r="E81" s="2" t="s">
        <v>395</v>
      </c>
      <c r="F81" s="3" t="str">
        <f>HYPERLINK("https://www.city.nishitokyo.lg.jp/siseizyoho/sosiki/fukushi/f_syougai.html","ホームページ")</f>
        <v>ホームページ</v>
      </c>
    </row>
    <row r="82" spans="1:6" ht="52.9">
      <c r="A82" s="2" t="s">
        <v>280</v>
      </c>
      <c r="B82" s="2" t="s">
        <v>281</v>
      </c>
      <c r="C82" s="2" t="s">
        <v>282</v>
      </c>
      <c r="D82" s="2" t="s">
        <v>283</v>
      </c>
      <c r="E82" s="2" t="s">
        <v>396</v>
      </c>
      <c r="F82" s="3" t="str">
        <f>HYPERLINK("https://www.town.mizuho.tokyo.jp/dept/130000/130100/130102/index.html","ホームページ")</f>
        <v>ホームページ</v>
      </c>
    </row>
    <row r="83" spans="1:6" ht="70.5">
      <c r="A83" s="2" t="s">
        <v>284</v>
      </c>
      <c r="B83" s="2" t="s">
        <v>285</v>
      </c>
      <c r="C83" s="2" t="s">
        <v>286</v>
      </c>
      <c r="D83" s="2"/>
      <c r="E83" s="2" t="s">
        <v>397</v>
      </c>
      <c r="F83" s="3" t="str">
        <f>HYPERLINK("https://www.town.hinode.tokyo.jp/soshiki/26-2-0-0-0_2.html","ホームページ")</f>
        <v>ホームページ</v>
      </c>
    </row>
    <row r="84" spans="1:6" ht="52.9">
      <c r="A84" s="2" t="s">
        <v>287</v>
      </c>
      <c r="B84" s="2" t="s">
        <v>288</v>
      </c>
      <c r="C84" s="2" t="s">
        <v>289</v>
      </c>
      <c r="D84" s="2"/>
      <c r="E84" s="2" t="s">
        <v>398</v>
      </c>
      <c r="F84" s="3" t="str">
        <f>HYPERLINK("https://www.vill.hinohara.tokyo.jp/soshiki/4-1-0-0-0_5.html","ホームページ")</f>
        <v>ホームページ</v>
      </c>
    </row>
    <row r="85" spans="1:6" ht="52.9">
      <c r="A85" s="2" t="s">
        <v>290</v>
      </c>
      <c r="B85" s="2" t="s">
        <v>291</v>
      </c>
      <c r="C85" s="2" t="s">
        <v>292</v>
      </c>
      <c r="D85" s="2"/>
      <c r="E85" s="2" t="s">
        <v>399</v>
      </c>
      <c r="F85" s="3" t="str">
        <f>HYPERLINK("https://www.town.okutama.tokyo.jp/1/fukushihokenka/yakubashokai/485.html","ホームページ")</f>
        <v>ホームページ</v>
      </c>
    </row>
    <row r="86" spans="1:6" ht="52.9">
      <c r="A86" s="2" t="s">
        <v>293</v>
      </c>
      <c r="B86" s="2" t="s">
        <v>294</v>
      </c>
      <c r="C86" s="2" t="s">
        <v>295</v>
      </c>
      <c r="D86" s="2" t="s">
        <v>296</v>
      </c>
      <c r="E86" s="2" t="s">
        <v>400</v>
      </c>
      <c r="F86" s="3" t="str">
        <f>HYPERLINK("https://www.town.oshima.tokyo.jp/soshiki/kenkou/","ホームページ")</f>
        <v>ホームページ</v>
      </c>
    </row>
    <row r="87" spans="1:6" ht="35.25">
      <c r="A87" s="2" t="s">
        <v>297</v>
      </c>
      <c r="B87" s="2" t="s">
        <v>298</v>
      </c>
      <c r="C87" s="2" t="s">
        <v>299</v>
      </c>
      <c r="D87" s="2"/>
      <c r="E87" s="2" t="s">
        <v>401</v>
      </c>
      <c r="F87" s="3" t="str">
        <f>HYPERLINK("https://www.toshimamura.org/life/procedure/notification.html","ホームページ")</f>
        <v>ホームページ</v>
      </c>
    </row>
    <row r="88" spans="1:6" ht="35.25">
      <c r="A88" s="2" t="s">
        <v>300</v>
      </c>
      <c r="B88" s="2" t="s">
        <v>301</v>
      </c>
      <c r="C88" s="2" t="s">
        <v>302</v>
      </c>
      <c r="D88" s="2" t="s">
        <v>303</v>
      </c>
      <c r="E88" s="2" t="s">
        <v>402</v>
      </c>
      <c r="F88" s="3" t="str">
        <f>HYPERLINK("https://www.niijima.com/soshiki/minseika/index.html","ホームページ")</f>
        <v>ホームページ</v>
      </c>
    </row>
    <row r="89" spans="1:6" ht="35.25">
      <c r="A89" s="2" t="s">
        <v>304</v>
      </c>
      <c r="B89" s="2" t="s">
        <v>305</v>
      </c>
      <c r="C89" s="2" t="s">
        <v>306</v>
      </c>
      <c r="D89" s="2"/>
      <c r="E89" s="2" t="s">
        <v>403</v>
      </c>
      <c r="F89" s="3" t="str">
        <f>HYPERLINK("https://www.vill.kouzushima.tokyo.jp/busyo/fukushi/","ホームページ")</f>
        <v>ホームページ</v>
      </c>
    </row>
    <row r="90" spans="1:6" ht="35.25">
      <c r="A90" s="2" t="s">
        <v>307</v>
      </c>
      <c r="B90" s="2" t="s">
        <v>308</v>
      </c>
      <c r="C90" s="2" t="s">
        <v>309</v>
      </c>
      <c r="D90" s="2"/>
      <c r="E90" s="2" t="s">
        <v>404</v>
      </c>
      <c r="F90" s="3" t="str">
        <f>HYPERLINK("https://www.vill.miyake.tokyo.jp/kakuka/sonminseikatsu/","ホームページ")</f>
        <v>ホームページ</v>
      </c>
    </row>
    <row r="91" spans="1:6" ht="35.25">
      <c r="A91" s="2" t="s">
        <v>310</v>
      </c>
      <c r="B91" s="2" t="s">
        <v>311</v>
      </c>
      <c r="C91" s="2" t="s">
        <v>312</v>
      </c>
      <c r="D91" s="2" t="s">
        <v>311</v>
      </c>
      <c r="E91" s="2" t="s">
        <v>405</v>
      </c>
      <c r="F91" s="3" t="str">
        <f>HYPERLINK("https://www.vill.mikurasima.tokyo.jp/","ホームページ")</f>
        <v>ホームページ</v>
      </c>
    </row>
    <row r="92" spans="1:6" ht="52.9">
      <c r="A92" s="2" t="s">
        <v>313</v>
      </c>
      <c r="B92" s="2" t="s">
        <v>314</v>
      </c>
      <c r="C92" s="2" t="s">
        <v>315</v>
      </c>
      <c r="D92" s="2"/>
      <c r="E92" s="2" t="s">
        <v>406</v>
      </c>
      <c r="F92" s="3" t="str">
        <f>HYPERLINK("https://www.town.hachijo.tokyo.jp/chousei/shinseisho/kenkou-iryou-s/","ホームページ")</f>
        <v>ホームページ</v>
      </c>
    </row>
    <row r="93" spans="1:6" ht="70.5">
      <c r="A93" s="2" t="s">
        <v>316</v>
      </c>
      <c r="B93" s="2" t="s">
        <v>317</v>
      </c>
      <c r="C93" s="2" t="s">
        <v>318</v>
      </c>
      <c r="D93" s="2"/>
      <c r="E93" s="2" t="s">
        <v>407</v>
      </c>
      <c r="F93" s="3" t="str">
        <f>HYPERLINK("https://www.vill.aogashima.tokyo.jp/contact/","ホームページ")</f>
        <v>ホームページ</v>
      </c>
    </row>
    <row r="94" spans="1:6" ht="52.9">
      <c r="A94" s="2" t="s">
        <v>319</v>
      </c>
      <c r="B94" s="2" t="s">
        <v>320</v>
      </c>
      <c r="C94" s="2" t="s">
        <v>321</v>
      </c>
      <c r="D94" s="2"/>
      <c r="E94" s="2" t="s">
        <v>408</v>
      </c>
      <c r="F94" s="3" t="str">
        <f>HYPERLINK("https://www.vill.ogasawara.tokyo.jp/sonmin/","ホームページ")</f>
        <v>ホームページ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409</v>
      </c>
      <c r="B2" s="5" t="s">
        <v>410</v>
      </c>
      <c r="C2" s="5"/>
      <c r="D2" s="5" t="s">
        <v>563</v>
      </c>
      <c r="E2" s="3" t="str">
        <f>HYPERLINK("https://www.city.chiyoda.lg.jp/koho/kenko/koresha/sodan/ombudsman.html","ホームページ")</f>
        <v>ホームページ</v>
      </c>
    </row>
    <row r="3" spans="1:5" ht="35.25">
      <c r="A3" s="5" t="s">
        <v>411</v>
      </c>
      <c r="B3" s="5" t="s">
        <v>412</v>
      </c>
      <c r="C3" s="5"/>
      <c r="D3" s="5" t="s">
        <v>564</v>
      </c>
      <c r="E3" s="5"/>
    </row>
    <row r="4" spans="1:5" ht="35.25">
      <c r="A4" s="5" t="s">
        <v>413</v>
      </c>
      <c r="B4" s="5" t="s">
        <v>414</v>
      </c>
      <c r="C4" s="5" t="s">
        <v>415</v>
      </c>
      <c r="D4" s="5" t="s">
        <v>565</v>
      </c>
      <c r="E4" s="3" t="str">
        <f>HYPERLINK("https://www.city.chuo.lg.jp/a0019/kujo.html","ホームページ")</f>
        <v>ホームページ</v>
      </c>
    </row>
    <row r="5" spans="1:5" ht="88.15">
      <c r="A5" s="5" t="s">
        <v>416</v>
      </c>
      <c r="B5" s="5" t="s">
        <v>417</v>
      </c>
      <c r="C5" s="5" t="s">
        <v>418</v>
      </c>
      <c r="D5" s="5" t="s">
        <v>566</v>
      </c>
      <c r="E5" s="3" t="str">
        <f>HYPERLINK("https://www.shakyo-chuo-city.jp/","ホームページ")</f>
        <v>ホームページ</v>
      </c>
    </row>
    <row r="6" spans="1:5" ht="52.9">
      <c r="A6" s="5" t="s">
        <v>419</v>
      </c>
      <c r="B6" s="5" t="s">
        <v>420</v>
      </c>
      <c r="C6" s="5"/>
      <c r="D6" s="5" t="s">
        <v>567</v>
      </c>
      <c r="E6" s="3" t="str">
        <f>HYPERLINK("https://www.city.minato.tokyo.jp/kenko/fukushi/shogaisha/madoguchi/kujokaiketsu.html","ホームページ")</f>
        <v>ホームページ</v>
      </c>
    </row>
    <row r="7" spans="1:5" ht="35.25">
      <c r="A7" s="5" t="s">
        <v>421</v>
      </c>
      <c r="B7" s="5" t="s">
        <v>422</v>
      </c>
      <c r="C7" s="5" t="s">
        <v>423</v>
      </c>
      <c r="D7" s="5" t="s">
        <v>568</v>
      </c>
      <c r="E7" s="5"/>
    </row>
    <row r="8" spans="1:5" ht="52.9">
      <c r="A8" s="5" t="s">
        <v>424</v>
      </c>
      <c r="B8" s="5" t="s">
        <v>425</v>
      </c>
      <c r="C8" s="5"/>
      <c r="D8" s="5" t="s">
        <v>569</v>
      </c>
      <c r="E8" s="3" t="str">
        <f>HYPERLINK("https://www.city.shinjuku.lg.jp/fukushi/file04_00006.html","ホームページ")</f>
        <v>ホームページ</v>
      </c>
    </row>
    <row r="9" spans="1:5" ht="52.9">
      <c r="A9" s="5" t="s">
        <v>421</v>
      </c>
      <c r="B9" s="5" t="s">
        <v>426</v>
      </c>
      <c r="C9" s="5" t="s">
        <v>427</v>
      </c>
      <c r="D9" s="5" t="s">
        <v>570</v>
      </c>
      <c r="E9" s="3" t="str">
        <f>HYPERLINK("https://www.bunsyakyo.or.jp/service/complaints","ホームページ")</f>
        <v>ホームページ</v>
      </c>
    </row>
    <row r="10" spans="1:5">
      <c r="A10" s="5" t="s">
        <v>421</v>
      </c>
      <c r="B10" s="5" t="s">
        <v>428</v>
      </c>
      <c r="C10" s="5"/>
      <c r="D10" s="5" t="s">
        <v>571</v>
      </c>
      <c r="E10" s="3" t="str">
        <f>HYPERLINK("https://taitoshakyo.com/service/anshin/kujyo-sodan","ホームページ")</f>
        <v>ホームページ</v>
      </c>
    </row>
    <row r="11" spans="1:5" ht="52.9">
      <c r="A11" s="5" t="s">
        <v>429</v>
      </c>
      <c r="B11" s="5" t="s">
        <v>430</v>
      </c>
      <c r="C11" s="5" t="s">
        <v>431</v>
      </c>
      <c r="D11" s="5" t="s">
        <v>572</v>
      </c>
      <c r="E11" s="3" t="str">
        <f>HYPERLINK("https://www.sumida-shakyo.or.jp/service/cate04/kujyo","ホームページ")</f>
        <v>ホームページ</v>
      </c>
    </row>
    <row r="12" spans="1:5" ht="52.9">
      <c r="A12" s="5" t="s">
        <v>421</v>
      </c>
      <c r="B12" s="5" t="s">
        <v>432</v>
      </c>
      <c r="C12" s="5" t="s">
        <v>433</v>
      </c>
      <c r="D12" s="5" t="s">
        <v>573</v>
      </c>
      <c r="E12" s="3" t="str">
        <f>HYPERLINK("https://koto-shakyo.or.jp/kenric/index.html","ホームページ")</f>
        <v>ホームページ</v>
      </c>
    </row>
    <row r="13" spans="1:5" ht="35.25">
      <c r="A13" s="5" t="s">
        <v>434</v>
      </c>
      <c r="B13" s="5" t="s">
        <v>435</v>
      </c>
      <c r="C13" s="5"/>
      <c r="D13" s="5" t="s">
        <v>574</v>
      </c>
      <c r="E13" s="5"/>
    </row>
    <row r="14" spans="1:5" ht="70.5">
      <c r="A14" s="5" t="s">
        <v>421</v>
      </c>
      <c r="B14" s="5" t="s">
        <v>436</v>
      </c>
      <c r="C14" s="5" t="s">
        <v>437</v>
      </c>
      <c r="D14" s="5" t="s">
        <v>575</v>
      </c>
      <c r="E14" s="5"/>
    </row>
    <row r="15" spans="1:5" ht="35.25">
      <c r="A15" s="5" t="s">
        <v>438</v>
      </c>
      <c r="B15" s="5" t="s">
        <v>439</v>
      </c>
      <c r="C15" s="5" t="s">
        <v>440</v>
      </c>
      <c r="D15" s="5" t="s">
        <v>576</v>
      </c>
      <c r="E15" s="3" t="str">
        <f>HYPERLINK("https://www.city.ota.tokyo.jp/seikatsu/sodan/ombudsman/index.html","ホームページ")</f>
        <v>ホームページ</v>
      </c>
    </row>
    <row r="16" spans="1:5" ht="35.25">
      <c r="A16" s="5" t="s">
        <v>441</v>
      </c>
      <c r="B16" s="5" t="s">
        <v>442</v>
      </c>
      <c r="C16" s="5" t="s">
        <v>443</v>
      </c>
      <c r="D16" s="5" t="s">
        <v>577</v>
      </c>
      <c r="E16" s="3" t="str">
        <f>HYPERLINK("https://www.city.setagaya.lg.jp/02014/3304.html","ホームページ")</f>
        <v>ホームページ</v>
      </c>
    </row>
    <row r="17" spans="1:5" ht="35.25">
      <c r="A17" s="5" t="s">
        <v>444</v>
      </c>
      <c r="B17" s="5" t="s">
        <v>445</v>
      </c>
      <c r="C17" s="5"/>
      <c r="D17" s="5" t="s">
        <v>578</v>
      </c>
      <c r="E17" s="3" t="str">
        <f>HYPERLINK("https://files.city.shibuya.tokyo.jp/assets/12995aba8b194961be709ba879857f70/c2b63a3cba4449fa8ac0d168cee3d0ff/assets_kurashi_000064166.pdf","ホームページ")</f>
        <v>ホームページ</v>
      </c>
    </row>
    <row r="18" spans="1:5" ht="35.25">
      <c r="A18" s="5" t="s">
        <v>446</v>
      </c>
      <c r="B18" s="5" t="s">
        <v>447</v>
      </c>
      <c r="C18" s="5"/>
      <c r="D18" s="5" t="s">
        <v>579</v>
      </c>
      <c r="E18" s="3" t="str">
        <f>HYPERLINK("https://nakanoshakyo.com/","ホームページ")</f>
        <v>ホームページ</v>
      </c>
    </row>
    <row r="19" spans="1:5" ht="52.9">
      <c r="A19" s="5" t="s">
        <v>448</v>
      </c>
      <c r="B19" s="5" t="s">
        <v>449</v>
      </c>
      <c r="C19" s="5" t="s">
        <v>450</v>
      </c>
      <c r="D19" s="5" t="s">
        <v>580</v>
      </c>
      <c r="E19" s="3" t="str">
        <f>HYPERLINK("https://www.city.tokyo-nakano.lg.jp/kenko_hukushi/soudan/kujyomoshitate.html","ホームページ")</f>
        <v>ホームページ</v>
      </c>
    </row>
    <row r="20" spans="1:5" ht="35.25">
      <c r="A20" s="5" t="s">
        <v>451</v>
      </c>
      <c r="B20" s="5" t="s">
        <v>449</v>
      </c>
      <c r="C20" s="5" t="s">
        <v>450</v>
      </c>
      <c r="D20" s="5" t="s">
        <v>581</v>
      </c>
      <c r="E20" s="3" t="str">
        <f>HYPERLINK("https://www.city.tokyo-nakano.lg.jp/kenko_hukushi/soudan/fukushi-funsocyotei.html","ホームページ")</f>
        <v>ホームページ</v>
      </c>
    </row>
    <row r="21" spans="1:5" ht="52.9">
      <c r="A21" s="5" t="s">
        <v>452</v>
      </c>
      <c r="B21" s="5" t="s">
        <v>453</v>
      </c>
      <c r="C21" s="5"/>
      <c r="D21" s="5" t="s">
        <v>582</v>
      </c>
      <c r="E21" s="3" t="str">
        <f>HYPERLINK("https://www.city.suginami.tokyo.jp/s034/1809.html","ホームページ")</f>
        <v>ホームページ</v>
      </c>
    </row>
    <row r="22" spans="1:5" ht="70.5">
      <c r="A22" s="5" t="s">
        <v>454</v>
      </c>
      <c r="B22" s="5" t="s">
        <v>455</v>
      </c>
      <c r="C22" s="5" t="s">
        <v>456</v>
      </c>
      <c r="D22" s="5" t="s">
        <v>583</v>
      </c>
      <c r="E22" s="3" t="str">
        <f>HYPERLINK("https://toshima-shakyo.or.jp/","ホームページ")</f>
        <v>ホームページ</v>
      </c>
    </row>
    <row r="23" spans="1:5" ht="52.9">
      <c r="A23" s="5" t="s">
        <v>421</v>
      </c>
      <c r="B23" s="5" t="s">
        <v>457</v>
      </c>
      <c r="C23" s="5" t="s">
        <v>458</v>
      </c>
      <c r="D23" s="5" t="s">
        <v>584</v>
      </c>
      <c r="E23" s="3" t="str">
        <f>HYPERLINK("https://kitashakyo.or.jp/","ホームページ")</f>
        <v>ホームページ</v>
      </c>
    </row>
    <row r="24" spans="1:5" ht="35.25">
      <c r="A24" s="5" t="s">
        <v>459</v>
      </c>
      <c r="B24" s="5" t="s">
        <v>460</v>
      </c>
      <c r="C24" s="5" t="s">
        <v>461</v>
      </c>
      <c r="D24" s="5" t="s">
        <v>585</v>
      </c>
      <c r="E24" s="3" t="str">
        <f>HYPERLINK("https://www.arakawa-shakyo.or.jp/sodan/","ホームページ")</f>
        <v>ホームページ</v>
      </c>
    </row>
    <row r="25" spans="1:5" ht="35.25">
      <c r="A25" s="5" t="s">
        <v>462</v>
      </c>
      <c r="B25" s="5" t="s">
        <v>463</v>
      </c>
      <c r="C25" s="5"/>
      <c r="D25" s="5" t="s">
        <v>586</v>
      </c>
      <c r="E25" s="3" t="str">
        <f>HYPERLINK("https://www.city.itabashi.tokyo.jp/kenko/soudan/ombudsman/index.html","ホームページ")</f>
        <v>ホームページ</v>
      </c>
    </row>
    <row r="26" spans="1:5" ht="70.5">
      <c r="A26" s="5" t="s">
        <v>464</v>
      </c>
      <c r="B26" s="5" t="s">
        <v>465</v>
      </c>
      <c r="C26" s="5" t="s">
        <v>466</v>
      </c>
      <c r="D26" s="5" t="s">
        <v>587</v>
      </c>
      <c r="E26" s="3" t="str">
        <f>HYPERLINK("https://www.city.nerima.tokyo.jp/hokenfukushi/chiikifukushi/kujochosei/index.html","ホームページ")</f>
        <v>ホームページ</v>
      </c>
    </row>
    <row r="27" spans="1:5" ht="52.9">
      <c r="A27" s="5" t="s">
        <v>467</v>
      </c>
      <c r="B27" s="5" t="s">
        <v>468</v>
      </c>
      <c r="C27" s="5" t="s">
        <v>469</v>
      </c>
      <c r="D27" s="5" t="s">
        <v>588</v>
      </c>
      <c r="E27" s="3" t="str">
        <f>HYPERLINK("https://adachisyakyo.jp/service/kikan-kinou/","ホームページ")</f>
        <v>ホームページ</v>
      </c>
    </row>
    <row r="28" spans="1:5" ht="52.9">
      <c r="A28" s="5" t="s">
        <v>470</v>
      </c>
      <c r="B28" s="5" t="s">
        <v>471</v>
      </c>
      <c r="C28" s="5"/>
      <c r="D28" s="5" t="s">
        <v>589</v>
      </c>
      <c r="E28" s="3" t="str">
        <f>HYPERLINK("https://www.city.katsushika.lg.jp/information/1000084/1006014/1006095.html","ホームページ")</f>
        <v>ホームページ</v>
      </c>
    </row>
    <row r="29" spans="1:5" ht="52.9">
      <c r="A29" s="5" t="s">
        <v>472</v>
      </c>
      <c r="B29" s="5" t="s">
        <v>473</v>
      </c>
      <c r="C29" s="5" t="s">
        <v>474</v>
      </c>
      <c r="D29" s="5" t="s">
        <v>590</v>
      </c>
      <c r="E29" s="3" t="str">
        <f>HYPERLINK("https://www.katsushika-shakyo.com/service/advisement/advocacy_center/","ホームページ")</f>
        <v>ホームページ</v>
      </c>
    </row>
    <row r="30" spans="1:5" ht="35.25">
      <c r="A30" s="5" t="s">
        <v>475</v>
      </c>
      <c r="B30" s="5" t="s">
        <v>476</v>
      </c>
      <c r="C30" s="5" t="s">
        <v>477</v>
      </c>
      <c r="D30" s="5" t="s">
        <v>591</v>
      </c>
      <c r="E30" s="3" t="str">
        <f>HYPERLINK("https://www.edogawa-shakyo.jp/","ホームページ")</f>
        <v>ホームページ</v>
      </c>
    </row>
    <row r="31" spans="1:5" ht="35.25">
      <c r="A31" s="5" t="s">
        <v>478</v>
      </c>
      <c r="B31" s="5" t="s">
        <v>479</v>
      </c>
      <c r="C31" s="5"/>
      <c r="D31" s="5" t="s">
        <v>592</v>
      </c>
      <c r="E31" s="3" t="str">
        <f>HYPERLINK("https://www.8-shakyo.or.jp/service/kuzyoutaioutousenmonsoudan.html","ホームページ")</f>
        <v>ホームページ</v>
      </c>
    </row>
    <row r="32" spans="1:5" ht="35.25">
      <c r="A32" s="5" t="s">
        <v>480</v>
      </c>
      <c r="B32" s="5" t="s">
        <v>481</v>
      </c>
      <c r="C32" s="5"/>
      <c r="D32" s="5" t="s">
        <v>593</v>
      </c>
      <c r="E32" s="5"/>
    </row>
    <row r="33" spans="1:5" ht="35.25">
      <c r="A33" s="5" t="s">
        <v>482</v>
      </c>
      <c r="B33" s="5" t="s">
        <v>483</v>
      </c>
      <c r="C33" s="5"/>
      <c r="D33" s="5" t="s">
        <v>594</v>
      </c>
      <c r="E33" s="5"/>
    </row>
    <row r="34" spans="1:5" ht="52.9">
      <c r="A34" s="5" t="s">
        <v>484</v>
      </c>
      <c r="B34" s="5" t="s">
        <v>485</v>
      </c>
      <c r="C34" s="5"/>
      <c r="D34" s="5" t="s">
        <v>595</v>
      </c>
      <c r="E34" s="5"/>
    </row>
    <row r="35" spans="1:5" ht="52.9">
      <c r="A35" s="5" t="s">
        <v>486</v>
      </c>
      <c r="B35" s="5" t="s">
        <v>487</v>
      </c>
      <c r="C35" s="5"/>
      <c r="D35" s="5" t="s">
        <v>596</v>
      </c>
      <c r="E35" s="5"/>
    </row>
    <row r="36" spans="1:5" ht="52.9">
      <c r="A36" s="5" t="s">
        <v>488</v>
      </c>
      <c r="B36" s="5" t="s">
        <v>489</v>
      </c>
      <c r="C36" s="5" t="s">
        <v>490</v>
      </c>
      <c r="D36" s="5" t="s">
        <v>597</v>
      </c>
      <c r="E36" s="5"/>
    </row>
    <row r="37" spans="1:5" ht="35.25">
      <c r="A37" s="5" t="s">
        <v>491</v>
      </c>
      <c r="B37" s="5" t="s">
        <v>492</v>
      </c>
      <c r="C37" s="5"/>
      <c r="D37" s="5" t="s">
        <v>598</v>
      </c>
      <c r="E37" s="5"/>
    </row>
    <row r="38" spans="1:5" ht="70.5">
      <c r="A38" s="5" t="s">
        <v>493</v>
      </c>
      <c r="B38" s="5" t="s">
        <v>494</v>
      </c>
      <c r="C38" s="5" t="s">
        <v>495</v>
      </c>
      <c r="D38" s="5" t="s">
        <v>599</v>
      </c>
      <c r="E38" s="3" t="str">
        <f>HYPERLINK("https://www.city.akishima.lg.jp/shisei/kocho/1002738/1002739.html","ホームページ")</f>
        <v>ホームページ</v>
      </c>
    </row>
    <row r="39" spans="1:5" ht="70.5">
      <c r="A39" s="5" t="s">
        <v>496</v>
      </c>
      <c r="B39" s="5" t="s">
        <v>497</v>
      </c>
      <c r="C39" s="5" t="s">
        <v>498</v>
      </c>
      <c r="D39" s="5" t="s">
        <v>600</v>
      </c>
      <c r="E39" s="3" t="str">
        <f>HYPERLINK("https://www.city.chofu.lg.jp/030060/p019043.html","ホームページ")</f>
        <v>ホームページ</v>
      </c>
    </row>
    <row r="40" spans="1:5" ht="35.25">
      <c r="A40" s="5" t="s">
        <v>499</v>
      </c>
      <c r="B40" s="5" t="s">
        <v>500</v>
      </c>
      <c r="C40" s="5"/>
      <c r="D40" s="5" t="s">
        <v>601</v>
      </c>
      <c r="E40" s="3" t="str">
        <f>HYPERLINK("https://machida-shakyo.or.jp/fukushisupport/","ホームページ")</f>
        <v>ホームページ</v>
      </c>
    </row>
    <row r="41" spans="1:5" ht="35.25">
      <c r="A41" s="5" t="s">
        <v>501</v>
      </c>
      <c r="B41" s="5" t="s">
        <v>502</v>
      </c>
      <c r="C41" s="5" t="s">
        <v>503</v>
      </c>
      <c r="D41" s="5" t="s">
        <v>602</v>
      </c>
      <c r="E41" s="5"/>
    </row>
    <row r="42" spans="1:5" ht="35.25">
      <c r="A42" s="5" t="s">
        <v>504</v>
      </c>
      <c r="B42" s="5" t="s">
        <v>505</v>
      </c>
      <c r="C42" s="5"/>
      <c r="D42" s="5" t="s">
        <v>603</v>
      </c>
      <c r="E42" s="3" t="str">
        <f>HYPERLINK("https://www.syakaifukushi.kodaira.tokyo.jp/service/kenriyougo.html","ホームページ")</f>
        <v>ホームページ</v>
      </c>
    </row>
    <row r="43" spans="1:5" ht="35.25">
      <c r="A43" s="5" t="s">
        <v>506</v>
      </c>
      <c r="B43" s="5" t="s">
        <v>507</v>
      </c>
      <c r="C43" s="5" t="s">
        <v>508</v>
      </c>
      <c r="D43" s="5" t="s">
        <v>604</v>
      </c>
      <c r="E43" s="3" t="str">
        <f>HYPERLINK("https://www.city.hino.lg.jp/fukushi/fukushi/ombuds/1003301.html","ホームページ")</f>
        <v>ホームページ</v>
      </c>
    </row>
    <row r="44" spans="1:5" ht="52.9">
      <c r="A44" s="5" t="s">
        <v>509</v>
      </c>
      <c r="B44" s="5" t="s">
        <v>510</v>
      </c>
      <c r="C44" s="5" t="s">
        <v>511</v>
      </c>
      <c r="D44" s="5" t="s">
        <v>605</v>
      </c>
      <c r="E44" s="3" t="str">
        <f>HYPERLINK("https://hm-shakyo.or.jp/service/house/necessary/20210512_18.html","ホームページ")</f>
        <v>ホームページ</v>
      </c>
    </row>
    <row r="45" spans="1:5" ht="35.25">
      <c r="A45" s="5" t="s">
        <v>512</v>
      </c>
      <c r="B45" s="5" t="s">
        <v>513</v>
      </c>
      <c r="C45" s="5" t="s">
        <v>514</v>
      </c>
      <c r="D45" s="5" t="s">
        <v>606</v>
      </c>
      <c r="E45" s="3" t="str">
        <f>HYPERLINK("https://www.ko-shakyo.or.jp/","ホームページ")</f>
        <v>ホームページ</v>
      </c>
    </row>
    <row r="46" spans="1:5" ht="35.25">
      <c r="A46" s="5" t="s">
        <v>515</v>
      </c>
      <c r="B46" s="5" t="s">
        <v>516</v>
      </c>
      <c r="C46" s="5"/>
      <c r="D46" s="5" t="s">
        <v>607</v>
      </c>
      <c r="E46" s="3" t="str">
        <f>HYPERLINK("https://www.city.kunitachi.tokyo.jp/kurashi/ombudsman/5128.html","ホームページ")</f>
        <v>ホームページ</v>
      </c>
    </row>
    <row r="47" spans="1:5" ht="52.9">
      <c r="A47" s="5" t="s">
        <v>517</v>
      </c>
      <c r="B47" s="5" t="s">
        <v>518</v>
      </c>
      <c r="C47" s="5" t="s">
        <v>519</v>
      </c>
      <c r="D47" s="5" t="s">
        <v>608</v>
      </c>
      <c r="E47" s="3" t="str">
        <f>HYPERLINK("https://fussashakyo.or.jp/","ホームページ")</f>
        <v>ホームページ</v>
      </c>
    </row>
    <row r="48" spans="1:5" ht="35.25">
      <c r="A48" s="5" t="s">
        <v>520</v>
      </c>
      <c r="B48" s="5" t="s">
        <v>521</v>
      </c>
      <c r="C48" s="5"/>
      <c r="D48" s="5" t="s">
        <v>609</v>
      </c>
      <c r="E48" s="3" t="str">
        <f>HYPERLINK("https://welfare.komae.org/s_list/reg_money/anshin_komae/","ホームページ")</f>
        <v>ホームページ</v>
      </c>
    </row>
    <row r="49" spans="1:5">
      <c r="A49" s="5" t="s">
        <v>522</v>
      </c>
      <c r="B49" s="5" t="s">
        <v>523</v>
      </c>
      <c r="C49" s="5" t="s">
        <v>524</v>
      </c>
      <c r="D49" s="5" t="s">
        <v>610</v>
      </c>
      <c r="E49" s="3" t="str">
        <f>HYPERLINK("https://www.higashiyamatoshakyou.or.jp/","ホームページ")</f>
        <v>ホームページ</v>
      </c>
    </row>
    <row r="50" spans="1:5" ht="35.25">
      <c r="A50" s="5" t="s">
        <v>525</v>
      </c>
      <c r="B50" s="5" t="s">
        <v>526</v>
      </c>
      <c r="C50" s="5" t="s">
        <v>527</v>
      </c>
      <c r="D50" s="5" t="s">
        <v>611</v>
      </c>
      <c r="E50" s="3" t="str">
        <f>HYPERLINK("https://www.kiyose-f.net/pages/66/","ホームページ")</f>
        <v>ホームページ</v>
      </c>
    </row>
    <row r="51" spans="1:5" ht="35.25">
      <c r="A51" s="5" t="s">
        <v>528</v>
      </c>
      <c r="B51" s="5" t="s">
        <v>529</v>
      </c>
      <c r="C51" s="5" t="s">
        <v>530</v>
      </c>
      <c r="D51" s="5" t="s">
        <v>612</v>
      </c>
      <c r="E51" s="3" t="str">
        <f>HYPERLINK("https://higashikurume-shakyo.or.jp/","ホームページ")</f>
        <v>ホームページ</v>
      </c>
    </row>
    <row r="52" spans="1:5" ht="35.25">
      <c r="A52" s="5" t="s">
        <v>531</v>
      </c>
      <c r="B52" s="5" t="s">
        <v>532</v>
      </c>
      <c r="C52" s="5" t="s">
        <v>533</v>
      </c>
      <c r="D52" s="5" t="s">
        <v>613</v>
      </c>
      <c r="E52" s="5"/>
    </row>
    <row r="53" spans="1:5" ht="70.5">
      <c r="A53" s="5" t="s">
        <v>534</v>
      </c>
      <c r="B53" s="5" t="s">
        <v>535</v>
      </c>
      <c r="C53" s="5" t="s">
        <v>536</v>
      </c>
      <c r="D53" s="5" t="s">
        <v>614</v>
      </c>
      <c r="E53" s="5"/>
    </row>
    <row r="54" spans="1:5" ht="35.25">
      <c r="A54" s="5" t="s">
        <v>537</v>
      </c>
      <c r="B54" s="5" t="s">
        <v>538</v>
      </c>
      <c r="C54" s="5" t="s">
        <v>539</v>
      </c>
      <c r="D54" s="5" t="s">
        <v>615</v>
      </c>
      <c r="E54" s="3" t="str">
        <f>HYPERLINK("https://inagishakyo.org/","ホームページ")</f>
        <v>ホームページ</v>
      </c>
    </row>
    <row r="55" spans="1:5" ht="52.9">
      <c r="A55" s="5" t="s">
        <v>540</v>
      </c>
      <c r="B55" s="5" t="s">
        <v>541</v>
      </c>
      <c r="C55" s="5" t="s">
        <v>542</v>
      </c>
      <c r="D55" s="5" t="s">
        <v>616</v>
      </c>
      <c r="E55" s="3" t="str">
        <f>HYPERLINK("https://www.hamurashakyo.jp/pages/52","ホームページ")</f>
        <v>ホームページ</v>
      </c>
    </row>
    <row r="56" spans="1:5" ht="35.25">
      <c r="A56" s="5" t="s">
        <v>543</v>
      </c>
      <c r="B56" s="5" t="s">
        <v>544</v>
      </c>
      <c r="C56" s="5" t="s">
        <v>545</v>
      </c>
      <c r="D56" s="5" t="s">
        <v>617</v>
      </c>
      <c r="E56" s="3" t="str">
        <f>HYPERLINK("https://akiruno-shakyo.or.jp/","ホームページ")</f>
        <v>ホームページ</v>
      </c>
    </row>
    <row r="57" spans="1:5" ht="35.25">
      <c r="A57" s="5" t="s">
        <v>421</v>
      </c>
      <c r="B57" s="5" t="s">
        <v>546</v>
      </c>
      <c r="C57" s="5"/>
      <c r="D57" s="5" t="s">
        <v>618</v>
      </c>
      <c r="E57" s="5"/>
    </row>
    <row r="58" spans="1:5" ht="52.9">
      <c r="A58" s="5" t="s">
        <v>547</v>
      </c>
      <c r="B58" s="5" t="s">
        <v>548</v>
      </c>
      <c r="C58" s="5" t="s">
        <v>549</v>
      </c>
      <c r="D58" s="5" t="s">
        <v>619</v>
      </c>
      <c r="E58" s="3" t="str">
        <f>HYPERLINK("https://mizuho-shakyo.com/rpc/","ホームページ")</f>
        <v>ホームページ</v>
      </c>
    </row>
    <row r="59" spans="1:5" ht="70.5">
      <c r="A59" s="5" t="s">
        <v>550</v>
      </c>
      <c r="B59" s="5" t="s">
        <v>551</v>
      </c>
      <c r="C59" s="5" t="s">
        <v>552</v>
      </c>
      <c r="D59" s="5" t="s">
        <v>620</v>
      </c>
      <c r="E59" s="3" t="str">
        <f>HYPERLINK("https://hinodeshakyo.jpn.org/","ホームページ")</f>
        <v>ホームページ</v>
      </c>
    </row>
    <row r="60" spans="1:5">
      <c r="A60" s="5" t="s">
        <v>553</v>
      </c>
      <c r="B60" s="5" t="s">
        <v>554</v>
      </c>
      <c r="C60" s="5" t="s">
        <v>555</v>
      </c>
      <c r="D60" s="5" t="s">
        <v>621</v>
      </c>
      <c r="E60" s="3" t="str">
        <f>HYPERLINK("https://hinoharasyakyo.jimdoweb.com/","ホームページ")</f>
        <v>ホームページ</v>
      </c>
    </row>
    <row r="61" spans="1:5" ht="35.25">
      <c r="A61" s="5" t="s">
        <v>556</v>
      </c>
      <c r="B61" s="5" t="s">
        <v>557</v>
      </c>
      <c r="C61" s="5"/>
      <c r="D61" s="5" t="s">
        <v>622</v>
      </c>
      <c r="E61" s="3" t="str">
        <f>HYPERLINK("http://okusyakyo.jp/","ホームページ")</f>
        <v>ホームページ</v>
      </c>
    </row>
    <row r="62" spans="1:5" ht="70.5">
      <c r="A62" s="5" t="s">
        <v>558</v>
      </c>
      <c r="B62" s="5" t="s">
        <v>559</v>
      </c>
      <c r="C62" s="5" t="s">
        <v>560</v>
      </c>
      <c r="D62" s="5" t="s">
        <v>623</v>
      </c>
      <c r="E62" s="3" t="str">
        <f>HYPERLINK("https://www.tcsw.tvac.or.jp/tekiseika/index.html","ホームページ")</f>
        <v>ホームページ</v>
      </c>
    </row>
    <row r="63" spans="1:5" ht="52.9">
      <c r="A63" s="5" t="s">
        <v>561</v>
      </c>
      <c r="B63" s="5" t="s">
        <v>562</v>
      </c>
      <c r="C63" s="5"/>
      <c r="D63" s="5" t="s">
        <v>624</v>
      </c>
      <c r="E63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2026-08-31T13:11:27Z</dcterms:modified>
</cp:coreProperties>
</file>