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福祉資料更新\"/>
    </mc:Choice>
  </mc:AlternateContent>
  <xr:revisionPtr revIDLastSave="0" documentId="13_ncr:1_{B75DEBD6-F741-4AAD-B766-97A91D92A886}" xr6:coauthVersionLast="47" xr6:coauthVersionMax="47" xr10:uidLastSave="{00000000-0000-0000-0000-000000000000}"/>
  <bookViews>
    <workbookView xWindow="-98" yWindow="-98" windowWidth="20715" windowHeight="13155" activeTab="1" xr2:uid="{C1488D2D-8E46-4D02-B0A0-FC44365EFBB2}"/>
  </bookViews>
  <sheets>
    <sheet name="虐待防止" sheetId="2" r:id="rId1"/>
    <sheet name="苦情相談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8" i="1" l="1"/>
  <c r="E59" i="1"/>
  <c r="E60" i="1"/>
  <c r="E61" i="1"/>
  <c r="E62" i="1"/>
  <c r="E54" i="1"/>
  <c r="E55" i="1"/>
  <c r="E56" i="1"/>
  <c r="E42" i="1"/>
  <c r="E43" i="1"/>
  <c r="E44" i="1"/>
  <c r="E45" i="1"/>
  <c r="E46" i="1"/>
  <c r="E47" i="1"/>
  <c r="E48" i="1"/>
  <c r="E49" i="1"/>
  <c r="E50" i="1"/>
  <c r="E51" i="1"/>
  <c r="E38" i="1"/>
  <c r="E39" i="1"/>
  <c r="E40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8" i="1"/>
  <c r="E9" i="1"/>
  <c r="E10" i="1"/>
  <c r="E11" i="1"/>
  <c r="E12" i="1"/>
  <c r="E4" i="1"/>
  <c r="E5" i="1"/>
  <c r="E6" i="1"/>
  <c r="E2" i="1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</calcChain>
</file>

<file path=xl/sharedStrings.xml><?xml version="1.0" encoding="utf-8"?>
<sst xmlns="http://schemas.openxmlformats.org/spreadsheetml/2006/main" count="674" uniqueCount="625">
  <si>
    <t>名称</t>
  </si>
  <si>
    <t>電話</t>
  </si>
  <si>
    <t>FAX・
メールアドレス</t>
  </si>
  <si>
    <t>休日・夜間の
連絡先</t>
  </si>
  <si>
    <t>所在地</t>
  </si>
  <si>
    <t>URL</t>
    <phoneticPr fontId="2"/>
  </si>
  <si>
    <r>
      <t>URL(</t>
    </r>
    <r>
      <rPr>
        <sz val="10"/>
        <color rgb="FFFF0000"/>
        <rFont val="MS PGothic"/>
        <family val="3"/>
        <charset val="128"/>
      </rPr>
      <t>※検索して公式ホームページか要確認※</t>
    </r>
    <r>
      <rPr>
        <sz val="10"/>
        <color theme="1"/>
        <rFont val="MS PGothic"/>
        <family val="3"/>
      </rPr>
      <t>）</t>
    </r>
    <rPh sb="5" eb="7">
      <t>ケンサク</t>
    </rPh>
    <rPh sb="9" eb="11">
      <t>コウシキ</t>
    </rPh>
    <rPh sb="18" eb="19">
      <t>ヨウ</t>
    </rPh>
    <rPh sb="19" eb="21">
      <t>カクニン</t>
    </rPh>
    <phoneticPr fontId="2"/>
  </si>
  <si>
    <t>千代田区障害者虐待防止センター
(千代田区障害者よろず相談Light)</t>
    <phoneticPr fontId="2"/>
  </si>
  <si>
    <t>03-5226-7373</t>
    <phoneticPr fontId="2"/>
  </si>
  <si>
    <t>03-6269-9754
light@hirai-luminal.or.jp</t>
    <phoneticPr fontId="2"/>
  </si>
  <si>
    <t>03-5226-7373
(24時間通報ダイヤル)</t>
    <phoneticPr fontId="2"/>
  </si>
  <si>
    <t>中央区障害者福祉課</t>
    <phoneticPr fontId="2"/>
  </si>
  <si>
    <t>03-3546-5634</t>
    <phoneticPr fontId="2"/>
  </si>
  <si>
    <t>03-3248-1322</t>
    <phoneticPr fontId="2"/>
  </si>
  <si>
    <t>03-3546-5634
(休日･夜間はコールセンターで受付)</t>
    <phoneticPr fontId="2"/>
  </si>
  <si>
    <t>港区障害者虐待防止センター
(港区障害者福祉課)</t>
    <phoneticPr fontId="2"/>
  </si>
  <si>
    <t>03-3578-2673</t>
    <phoneticPr fontId="2"/>
  </si>
  <si>
    <t>03-3578-2678</t>
    <phoneticPr fontId="2"/>
  </si>
  <si>
    <t>03-3578-2111
(代表･夜間宿直対応)</t>
    <phoneticPr fontId="2"/>
  </si>
  <si>
    <t>新宿区障害者虐待防止センター
(新宿区障害者福祉課)</t>
    <phoneticPr fontId="2"/>
  </si>
  <si>
    <t>03-5273-4368</t>
    <phoneticPr fontId="2"/>
  </si>
  <si>
    <t>03-3209-3441</t>
    <phoneticPr fontId="2"/>
  </si>
  <si>
    <t>03-3209-1111
(代表)</t>
    <phoneticPr fontId="2"/>
  </si>
  <si>
    <t>文京区障害者虐待防止センター
(文京区障害福祉課)</t>
    <phoneticPr fontId="2"/>
  </si>
  <si>
    <t>03-5803-1818</t>
    <phoneticPr fontId="2"/>
  </si>
  <si>
    <t>03-5803-1352</t>
    <phoneticPr fontId="2"/>
  </si>
  <si>
    <t>03-5940-2903
(休日･夜間は障害者基幹相談支援センターで受付)</t>
    <phoneticPr fontId="2"/>
  </si>
  <si>
    <t>台東区障害者虐待防止センター(精神)
(台東区精神障害者地域生活支援センターあさがお)</t>
    <phoneticPr fontId="2"/>
  </si>
  <si>
    <t>03-5823-4298</t>
    <phoneticPr fontId="2"/>
  </si>
  <si>
    <t>03-5823-4299</t>
    <phoneticPr fontId="2"/>
  </si>
  <si>
    <t>070-1555-8910</t>
    <phoneticPr fontId="2"/>
  </si>
  <si>
    <t>台東区障害者虐待防止センター(身体･知的)
(障害者支援施設浅草ほうらい)</t>
    <phoneticPr fontId="2"/>
  </si>
  <si>
    <t>03-5808-0067</t>
    <phoneticPr fontId="2"/>
  </si>
  <si>
    <t>03-5824-5631
s.hourai@seihou.or.jp</t>
    <phoneticPr fontId="2"/>
  </si>
  <si>
    <t>墨田区障害者虐待防止センター
（墨田区障害者福祉課障害者基幹相談支援センター）</t>
    <phoneticPr fontId="2"/>
  </si>
  <si>
    <t>03－5608－1596</t>
    <phoneticPr fontId="2"/>
  </si>
  <si>
    <t xml:space="preserve">03-5608-6423
kikansoudan@city.sumida.lg.jp
</t>
    <phoneticPr fontId="2"/>
  </si>
  <si>
    <t>03-3625-1103
(24時間通報ダイヤル)</t>
    <phoneticPr fontId="2"/>
  </si>
  <si>
    <t>江東区障害者虐待防止センター
(江東区障害者支援課)</t>
    <phoneticPr fontId="2"/>
  </si>
  <si>
    <t>03-3647-8003</t>
    <phoneticPr fontId="2"/>
  </si>
  <si>
    <t>03-3647-4910
syou-gyaku@city.koto.lg.jp</t>
    <phoneticPr fontId="2"/>
  </si>
  <si>
    <t>品川区障害者虐待防止センター
(品川区障害者支援課)</t>
    <phoneticPr fontId="2"/>
  </si>
  <si>
    <t>03-5742-6711</t>
    <phoneticPr fontId="2"/>
  </si>
  <si>
    <t>03-3775-2000</t>
    <phoneticPr fontId="2"/>
  </si>
  <si>
    <t>0120-726-605
見守りホットライン
(24時間通報ダイヤル)</t>
    <phoneticPr fontId="2"/>
  </si>
  <si>
    <t>目黒区障害者虐待防止センター
(目黒区障害者支援課)</t>
    <phoneticPr fontId="2"/>
  </si>
  <si>
    <t>03-5722-8718</t>
    <phoneticPr fontId="2"/>
  </si>
  <si>
    <t>03-3715-4424
shoshien02@city.meguro.tokyo.jp</t>
    <phoneticPr fontId="2"/>
  </si>
  <si>
    <t>大田区障害者虐待防止センター
(大田区障がい者総合サポートセンター)</t>
    <phoneticPr fontId="2"/>
  </si>
  <si>
    <t>03-6303-8819</t>
    <phoneticPr fontId="2"/>
  </si>
  <si>
    <t>03-5728-9437
kenri9924@city.ota.tokyo.jp</t>
    <phoneticPr fontId="2"/>
  </si>
  <si>
    <t xml:space="preserve">03-6303-8819
(留守録対応･土曜､日曜､祝日昼間は受付※年末年始を除く)     </t>
    <phoneticPr fontId="2"/>
  </si>
  <si>
    <t>世田谷区世田谷総合支所保健福祉センター保健福祉課</t>
    <phoneticPr fontId="2"/>
  </si>
  <si>
    <t>03-5432-2865</t>
    <phoneticPr fontId="2"/>
  </si>
  <si>
    <t>03-5432-3049</t>
    <phoneticPr fontId="2"/>
  </si>
  <si>
    <t>(電話)03-5432-1033
(FAX)03-3410-0368</t>
    <phoneticPr fontId="2"/>
  </si>
  <si>
    <t>世田谷区北沢総合支所保健福祉センター保健福祉課</t>
    <phoneticPr fontId="2"/>
  </si>
  <si>
    <t>03-6804-8727</t>
    <phoneticPr fontId="2"/>
  </si>
  <si>
    <t>03-6804-8813</t>
    <phoneticPr fontId="2"/>
  </si>
  <si>
    <t>世田谷区玉川総合支所保健福祉センター保健福祉課</t>
    <phoneticPr fontId="2"/>
  </si>
  <si>
    <t>03-3702-2092</t>
    <phoneticPr fontId="2"/>
  </si>
  <si>
    <t>03-5707-2661</t>
    <phoneticPr fontId="2"/>
  </si>
  <si>
    <t>世田谷区砧総合支所保健福祉センター保健福祉課</t>
    <phoneticPr fontId="2"/>
  </si>
  <si>
    <t>03-3482-8198</t>
    <phoneticPr fontId="2"/>
  </si>
  <si>
    <t>03-3482-1796</t>
    <phoneticPr fontId="2"/>
  </si>
  <si>
    <t>世田谷区烏山総合支所保健福祉センター保健福祉課</t>
    <phoneticPr fontId="2"/>
  </si>
  <si>
    <t>03-3326-6115</t>
    <phoneticPr fontId="2"/>
  </si>
  <si>
    <t>03-3326-6154</t>
    <phoneticPr fontId="2"/>
  </si>
  <si>
    <t>渋谷区障害者虐待防止センター（渋谷区障がい者福祉課）</t>
    <phoneticPr fontId="2"/>
  </si>
  <si>
    <t>03-3463-2388</t>
    <phoneticPr fontId="2"/>
  </si>
  <si>
    <t>03-5458-4935</t>
    <phoneticPr fontId="2"/>
  </si>
  <si>
    <t>03-3463-1211
(代表)</t>
    <phoneticPr fontId="2"/>
  </si>
  <si>
    <t>中野区障害福祉課  (基幹相談支援係)</t>
    <phoneticPr fontId="2"/>
  </si>
  <si>
    <t>03-3228-8703</t>
    <phoneticPr fontId="2"/>
  </si>
  <si>
    <t>03-3228-5611
03-3228-5662
shogaihukusi@city.tokyo-nakano.lg.jp</t>
    <phoneticPr fontId="2"/>
  </si>
  <si>
    <t>03-3389-1111</t>
    <phoneticPr fontId="2"/>
  </si>
  <si>
    <t>杉並区障害者施策課                                       (杉並区基幹相談支援センター)</t>
    <phoneticPr fontId="2"/>
  </si>
  <si>
    <t>03-5335-7345</t>
    <phoneticPr fontId="2"/>
  </si>
  <si>
    <t>03-5335-7679  
 s-kikan@city.suginami.lg.jp</t>
    <phoneticPr fontId="2"/>
  </si>
  <si>
    <t>03-3312-2111
(区役所休日夜間受付)</t>
    <phoneticPr fontId="2"/>
  </si>
  <si>
    <t>豊島区障害者虐待防止センター
(豊島区立心身障害者福祉センター)</t>
    <phoneticPr fontId="2"/>
  </si>
  <si>
    <t>03-3953-2870</t>
    <phoneticPr fontId="2"/>
  </si>
  <si>
    <t>03-3953-9441
A0015702@city.toshima.lg.jp</t>
    <phoneticPr fontId="2"/>
  </si>
  <si>
    <t>03-3953-2870
(留守録対応)</t>
    <phoneticPr fontId="2"/>
  </si>
  <si>
    <t>北区障害福祉課　　　　　　　　　　　　　　　　　　　　　　　　　　　　　　　　　　　　　　　　　　　　　　　　　　　　　　　　　　　　　　　　　　　　　　　　　　　　　　　　　　　　　　　　　　　　（北区障害者虐待防止センター）</t>
    <phoneticPr fontId="2"/>
  </si>
  <si>
    <t>03-3908-9081</t>
    <phoneticPr fontId="2"/>
  </si>
  <si>
    <t>03-3908-5344</t>
    <phoneticPr fontId="2"/>
  </si>
  <si>
    <t>03-3908-1133
(区役所休日夜間受付)</t>
    <phoneticPr fontId="2"/>
  </si>
  <si>
    <t>荒川区障害者福祉課
(荒川区障がい者虐待防止･差別解消センター)</t>
    <phoneticPr fontId="2"/>
  </si>
  <si>
    <t>03-3802-3111
(内2687)</t>
    <phoneticPr fontId="2"/>
  </si>
  <si>
    <t>03-3802-0819
syouhuku@city.arakawa.lg.jp</t>
    <phoneticPr fontId="2"/>
  </si>
  <si>
    <t>03-3802-3151
(コールセンター)</t>
    <phoneticPr fontId="2"/>
  </si>
  <si>
    <t>板橋区障がい者虐待防止センター【通報】
(板橋区障がい者福祉センター)</t>
    <phoneticPr fontId="2"/>
  </si>
  <si>
    <t>03-3550-3406</t>
    <phoneticPr fontId="2"/>
  </si>
  <si>
    <t>03-3550-3410</t>
    <phoneticPr fontId="2"/>
  </si>
  <si>
    <t xml:space="preserve">03-3550-3406
(休日･夜間はコールセンターで受付)
</t>
    <phoneticPr fontId="2"/>
  </si>
  <si>
    <t>RETRY</t>
    <phoneticPr fontId="2"/>
  </si>
  <si>
    <t>板橋区障がいサービス課支援調整係【通報】</t>
    <phoneticPr fontId="2"/>
  </si>
  <si>
    <t>03-3579-2736</t>
    <phoneticPr fontId="2"/>
  </si>
  <si>
    <t>03-3579-4159</t>
    <phoneticPr fontId="2"/>
  </si>
  <si>
    <t>板橋区障がいサービス課板橋地域支援係(身体･知的)【相談】</t>
    <phoneticPr fontId="2"/>
  </si>
  <si>
    <t>03-3579-2460</t>
    <phoneticPr fontId="2"/>
  </si>
  <si>
    <t>板橋区障がいサービス課赤塚地域支援係(身体･知的)【相談】</t>
    <phoneticPr fontId="2"/>
  </si>
  <si>
    <t>03-3938-5118</t>
    <phoneticPr fontId="2"/>
  </si>
  <si>
    <t>板橋区障がいサービス課志村地域支援係(身体･知的)【相談】</t>
    <phoneticPr fontId="2"/>
  </si>
  <si>
    <t>03-3968-2337</t>
    <phoneticPr fontId="2"/>
  </si>
  <si>
    <t>板橋区板橋健康福祉センター(精神)【相談】</t>
    <phoneticPr fontId="2"/>
  </si>
  <si>
    <t>03-3579-2121</t>
    <phoneticPr fontId="2"/>
  </si>
  <si>
    <t>板橋区上板橋健康福祉センター(精神)【相談】</t>
    <phoneticPr fontId="2"/>
  </si>
  <si>
    <t>03-3937-1041</t>
    <phoneticPr fontId="2"/>
  </si>
  <si>
    <t>板橋区赤塚健康福祉センター(精神)【相談】</t>
    <phoneticPr fontId="2"/>
  </si>
  <si>
    <t>03-3979-0511
03-3979-0512</t>
    <phoneticPr fontId="2"/>
  </si>
  <si>
    <t>板橋区志村健康福祉センター(精神)【相談】</t>
    <phoneticPr fontId="2"/>
  </si>
  <si>
    <t>03-3969-3836
03-3969-3839</t>
    <phoneticPr fontId="2"/>
  </si>
  <si>
    <t>板橋区高島平健康福祉センター(精神)【相談】</t>
    <phoneticPr fontId="2"/>
  </si>
  <si>
    <t>03-3938-8621</t>
    <phoneticPr fontId="2"/>
  </si>
  <si>
    <t>練馬区障害者虐待防止センター
(練馬区障害者施策推進課)</t>
    <phoneticPr fontId="2"/>
  </si>
  <si>
    <t>03-5984-1334</t>
    <phoneticPr fontId="2"/>
  </si>
  <si>
    <t>03-5984-4721</t>
    <phoneticPr fontId="2"/>
  </si>
  <si>
    <t>(電話)03-5984-1334
(Fax)03‐5984‐4721</t>
    <phoneticPr fontId="2"/>
  </si>
  <si>
    <t>足立区虐待防止センター(足立区障がい福祉課虐待防止･指導検査係）</t>
    <phoneticPr fontId="2"/>
  </si>
  <si>
    <t>03-3880-6261
(03-3880-8011)</t>
    <phoneticPr fontId="2"/>
  </si>
  <si>
    <t>03-3880-5754</t>
    <phoneticPr fontId="2"/>
  </si>
  <si>
    <t>03-3880-5111</t>
    <phoneticPr fontId="2"/>
  </si>
  <si>
    <t>足立区障がい援護課基幹相談･権利擁護係</t>
    <phoneticPr fontId="2"/>
  </si>
  <si>
    <t>03-3880-0708</t>
    <phoneticPr fontId="2"/>
  </si>
  <si>
    <t>足立区障がい福祉センター</t>
    <phoneticPr fontId="2"/>
  </si>
  <si>
    <t>03-5681-0132</t>
    <phoneticPr fontId="2"/>
  </si>
  <si>
    <t>03-5681-0137</t>
    <phoneticPr fontId="2"/>
  </si>
  <si>
    <t>足立区障がい援護課中部援護第一係(身体)</t>
    <phoneticPr fontId="2"/>
  </si>
  <si>
    <t>03-3880-5881</t>
    <phoneticPr fontId="2"/>
  </si>
  <si>
    <t>足立区障がい援護課中部援護第二係(知的)</t>
    <phoneticPr fontId="2"/>
  </si>
  <si>
    <t>03-3880-5882</t>
    <phoneticPr fontId="2"/>
  </si>
  <si>
    <t>足立区障がい援護課千住援護係(身体･知的)</t>
    <phoneticPr fontId="2"/>
  </si>
  <si>
    <t>03-3888-3146</t>
    <phoneticPr fontId="2"/>
  </si>
  <si>
    <t>03-3888-5344</t>
    <phoneticPr fontId="2"/>
  </si>
  <si>
    <t>足立区障がい援護課東部援護係(身体･知的)</t>
    <phoneticPr fontId="2"/>
  </si>
  <si>
    <t>03-3605-7520</t>
    <phoneticPr fontId="2"/>
  </si>
  <si>
    <t>03-5697-6560</t>
    <phoneticPr fontId="2"/>
  </si>
  <si>
    <t>足立区障がい援護課西部援護係(身体･知的)</t>
    <phoneticPr fontId="2"/>
  </si>
  <si>
    <t>03-3897-5034</t>
    <phoneticPr fontId="2"/>
  </si>
  <si>
    <t>03-3856-7229</t>
    <phoneticPr fontId="2"/>
  </si>
  <si>
    <t>足立区障がい援護課北部援護係(身体･知的)</t>
    <phoneticPr fontId="2"/>
  </si>
  <si>
    <t>03-5831-5799</t>
    <phoneticPr fontId="2"/>
  </si>
  <si>
    <t>03-3860-5077</t>
    <phoneticPr fontId="2"/>
  </si>
  <si>
    <t>足立区中央本町地域･保健総合支援課(精神)</t>
    <phoneticPr fontId="2"/>
  </si>
  <si>
    <t>03-3880-5351</t>
    <phoneticPr fontId="2"/>
  </si>
  <si>
    <t>03-3880-6998</t>
    <phoneticPr fontId="2"/>
  </si>
  <si>
    <t>足立区竹の塚保健センター(精神)</t>
    <phoneticPr fontId="2"/>
  </si>
  <si>
    <t>03-3855-5082</t>
    <phoneticPr fontId="2"/>
  </si>
  <si>
    <t>03-3855-5089</t>
    <phoneticPr fontId="2"/>
  </si>
  <si>
    <t>足立区江北保健センター(精神)</t>
    <phoneticPr fontId="2"/>
  </si>
  <si>
    <t>03-3896-4004</t>
    <phoneticPr fontId="2"/>
  </si>
  <si>
    <t>03-3856-5529</t>
    <phoneticPr fontId="2"/>
  </si>
  <si>
    <t>足立区千住保健センター(精神)</t>
    <phoneticPr fontId="2"/>
  </si>
  <si>
    <t>03-3888-4277</t>
    <phoneticPr fontId="2"/>
  </si>
  <si>
    <t>03-3888-5396</t>
    <phoneticPr fontId="2"/>
  </si>
  <si>
    <t>足立区東部保健センター(精神)</t>
    <phoneticPr fontId="2"/>
  </si>
  <si>
    <t>03-3606-4171</t>
    <phoneticPr fontId="2"/>
  </si>
  <si>
    <t>03-5697-6561</t>
    <phoneticPr fontId="2"/>
  </si>
  <si>
    <t>葛飾区障害者権利擁護窓口</t>
    <phoneticPr fontId="2"/>
  </si>
  <si>
    <t>03-5654-8628</t>
    <phoneticPr fontId="2"/>
  </si>
  <si>
    <t>03-5698-1531</t>
    <phoneticPr fontId="2"/>
  </si>
  <si>
    <t>03-3695-1111
(代表)</t>
    <phoneticPr fontId="2"/>
  </si>
  <si>
    <t>江戸川区福祉部障害者福祉課権利擁護係</t>
    <phoneticPr fontId="2"/>
  </si>
  <si>
    <t>03-5662-1014              (24時間通報ダイヤル)</t>
    <phoneticPr fontId="2"/>
  </si>
  <si>
    <t>03-3656-5874
※聴覚障害の方専用</t>
    <phoneticPr fontId="2"/>
  </si>
  <si>
    <t>03-5662-1014
(24時間通報ダイヤル)</t>
    <phoneticPr fontId="2"/>
  </si>
  <si>
    <t>八王子市障害者虐待防止センター
(八王子市障害者福祉課)</t>
    <phoneticPr fontId="2"/>
  </si>
  <si>
    <t>042-620-7367</t>
    <phoneticPr fontId="2"/>
  </si>
  <si>
    <t xml:space="preserve">042-623-2444
</t>
    <phoneticPr fontId="2"/>
  </si>
  <si>
    <t>042-626-3111</t>
    <phoneticPr fontId="2"/>
  </si>
  <si>
    <t>立川市社会福祉協議会虐待防止専用電話
(立川市社会福祉協議会)</t>
    <phoneticPr fontId="2"/>
  </si>
  <si>
    <t>042-524-8774</t>
    <phoneticPr fontId="2"/>
  </si>
  <si>
    <t>042-548-1724</t>
    <phoneticPr fontId="2"/>
  </si>
  <si>
    <t>立川市障害福祉課</t>
    <phoneticPr fontId="2"/>
  </si>
  <si>
    <t>042-524-5773</t>
    <phoneticPr fontId="2"/>
  </si>
  <si>
    <t>042-529-8676</t>
    <phoneticPr fontId="2"/>
  </si>
  <si>
    <t>武蔵野市障害者福祉課基幹相談支援センター</t>
    <phoneticPr fontId="2"/>
  </si>
  <si>
    <t>0422-60-1847</t>
    <phoneticPr fontId="2"/>
  </si>
  <si>
    <t>0422-51-9239
SEC-SYOUGAI@city.musashino.lg.jp</t>
    <phoneticPr fontId="2"/>
  </si>
  <si>
    <t>三鷹市障がい者虐待防止センター
(三鷹市障がい者支援課)</t>
    <phoneticPr fontId="2"/>
  </si>
  <si>
    <t>0422-29-8267</t>
    <phoneticPr fontId="2"/>
  </si>
  <si>
    <t>0422-47-9577
shien@city.mitaka.lg.jp</t>
    <phoneticPr fontId="2"/>
  </si>
  <si>
    <t>0422-45-1151
(宿直)</t>
    <phoneticPr fontId="2"/>
  </si>
  <si>
    <t>青梅市障がい者サポートセンター</t>
    <phoneticPr fontId="2"/>
  </si>
  <si>
    <t>0428-30-0152
(毎月第3月曜日は休館日)</t>
    <phoneticPr fontId="2"/>
  </si>
  <si>
    <t>0428-30-0153</t>
    <phoneticPr fontId="2"/>
  </si>
  <si>
    <t>0428-30-0152
(夜間は対応なし)</t>
    <phoneticPr fontId="2"/>
  </si>
  <si>
    <t>青梅市障がい者福祉課</t>
    <phoneticPr fontId="2"/>
  </si>
  <si>
    <t>0428-22-1111
(内2133~2136)</t>
    <phoneticPr fontId="2"/>
  </si>
  <si>
    <t>0428-24-0358</t>
    <phoneticPr fontId="2"/>
  </si>
  <si>
    <t>0428-22-1111
(宿直)</t>
    <phoneticPr fontId="2"/>
  </si>
  <si>
    <t>障害者虐待防止センター
（府中市障害者福祉課）</t>
    <phoneticPr fontId="2"/>
  </si>
  <si>
    <t>042-335-4167
042-335-4962
042-335-4022</t>
    <phoneticPr fontId="2"/>
  </si>
  <si>
    <t>042-368-6126
syougai01@city.fuchu.tokyo.jp</t>
    <phoneticPr fontId="2"/>
  </si>
  <si>
    <t>042-364-4111</t>
    <phoneticPr fontId="2"/>
  </si>
  <si>
    <t>昭島市障害者虐待防止センター
(社会福祉法人 あすはの会)</t>
    <phoneticPr fontId="2"/>
  </si>
  <si>
    <t>042-519-4448</t>
    <phoneticPr fontId="2"/>
  </si>
  <si>
    <t>042-513-5457</t>
    <phoneticPr fontId="2"/>
  </si>
  <si>
    <t>調布市障害福祉課</t>
    <phoneticPr fontId="2"/>
  </si>
  <si>
    <t>042-481-7094</t>
    <phoneticPr fontId="2"/>
  </si>
  <si>
    <t>042-481-4288
syougai@city.chofu.lg.jp</t>
    <phoneticPr fontId="2"/>
  </si>
  <si>
    <t>042-481-7111
(代表)</t>
    <phoneticPr fontId="2"/>
  </si>
  <si>
    <t>町田市障害者虐待防止センター
(町田市障がい福祉課)</t>
    <phoneticPr fontId="2"/>
  </si>
  <si>
    <t>042-724-3089</t>
    <phoneticPr fontId="2"/>
  </si>
  <si>
    <t>050-3101-1653</t>
    <phoneticPr fontId="2"/>
  </si>
  <si>
    <t>042-722-3111
(代表)</t>
    <phoneticPr fontId="2"/>
  </si>
  <si>
    <t>小金井市障害者虐待防止センター</t>
    <phoneticPr fontId="2"/>
  </si>
  <si>
    <t>042-381-7497</t>
    <phoneticPr fontId="2"/>
  </si>
  <si>
    <t>042-381-8812</t>
    <phoneticPr fontId="2"/>
  </si>
  <si>
    <t>小平市障がい者支援課</t>
    <phoneticPr fontId="2"/>
  </si>
  <si>
    <t>042-346-9542</t>
    <phoneticPr fontId="2"/>
  </si>
  <si>
    <t>042-346-9541
syogaisyashien@city.kodaira.lg.jp</t>
    <phoneticPr fontId="2"/>
  </si>
  <si>
    <t>042-341-1211
(代表)</t>
    <phoneticPr fontId="2"/>
  </si>
  <si>
    <t>日野市障害福祉課</t>
    <phoneticPr fontId="2"/>
  </si>
  <si>
    <t>042-514-8489</t>
    <phoneticPr fontId="2"/>
  </si>
  <si>
    <t>042-583-0294
syogaif@city.hino.lg.jp</t>
    <phoneticPr fontId="2"/>
  </si>
  <si>
    <t>042-585-1111
(代表)</t>
    <phoneticPr fontId="2"/>
  </si>
  <si>
    <t>東村山市障害支援課</t>
    <phoneticPr fontId="2"/>
  </si>
  <si>
    <t>042-393-5111
(代表)</t>
    <phoneticPr fontId="2"/>
  </si>
  <si>
    <t>042-395-2131
syogaishien@m01.city.higashimurayama.tokyo.jp</t>
    <phoneticPr fontId="2"/>
  </si>
  <si>
    <t>東村山市基幹相談支援センター</t>
    <phoneticPr fontId="2"/>
  </si>
  <si>
    <t>042-394-1555</t>
    <phoneticPr fontId="2"/>
  </si>
  <si>
    <t>042-393-0411
route@hm-shakyo.or.jp</t>
    <phoneticPr fontId="2"/>
  </si>
  <si>
    <t>国分寺市障害福祉課</t>
    <phoneticPr fontId="2"/>
  </si>
  <si>
    <t>042-325-0111 
(内線)
2205・2206</t>
    <phoneticPr fontId="2"/>
  </si>
  <si>
    <t>042-324-6831
syougaihukushi@city.kokubunji.tokyo.jp</t>
    <phoneticPr fontId="2"/>
  </si>
  <si>
    <t>042-325-0111
(代表･夜間宿直対応)</t>
    <phoneticPr fontId="2"/>
  </si>
  <si>
    <t>国立市しょうがいしゃ支援課</t>
    <phoneticPr fontId="2"/>
  </si>
  <si>
    <t xml:space="preserve">
042-576-2121       (相談支援係直通)</t>
    <phoneticPr fontId="2"/>
  </si>
  <si>
    <t>042-573-1102
sec_shogaishien@city.kunitachi.lg.jp</t>
    <phoneticPr fontId="2"/>
  </si>
  <si>
    <t>080-5643-5378</t>
    <phoneticPr fontId="2"/>
  </si>
  <si>
    <t>福生市障害福祉課</t>
    <phoneticPr fontId="2"/>
  </si>
  <si>
    <t>042-551-1511
(内線2635､2636)</t>
    <phoneticPr fontId="2"/>
  </si>
  <si>
    <t>042-552-5150</t>
    <phoneticPr fontId="2"/>
  </si>
  <si>
    <t>042-551-1511
(代表)</t>
    <phoneticPr fontId="2"/>
  </si>
  <si>
    <t>狛江市福祉相談課</t>
    <phoneticPr fontId="2"/>
  </si>
  <si>
    <t xml:space="preserve">
03-5761-8665</t>
    <phoneticPr fontId="2"/>
  </si>
  <si>
    <t xml:space="preserve">
kisot@city.komae.lg.jp</t>
    <phoneticPr fontId="2"/>
  </si>
  <si>
    <t>03-3430-1111（代表）
緊急：070-6401-8509</t>
    <phoneticPr fontId="2"/>
  </si>
  <si>
    <t>東大和市障害福祉課</t>
    <phoneticPr fontId="2"/>
  </si>
  <si>
    <t>042-563-2111</t>
    <phoneticPr fontId="2"/>
  </si>
  <si>
    <t>042-563-5928
shogaifukushi@city.higashiyamato.lg.jp</t>
    <phoneticPr fontId="2"/>
  </si>
  <si>
    <t>清瀬市障害福祉課</t>
    <phoneticPr fontId="2"/>
  </si>
  <si>
    <t>042-497-2073</t>
    <phoneticPr fontId="2"/>
  </si>
  <si>
    <t>042-492-5139</t>
    <phoneticPr fontId="2"/>
  </si>
  <si>
    <t>042-492-5111
(代表)</t>
    <phoneticPr fontId="2"/>
  </si>
  <si>
    <t>東久留米市障害福祉課</t>
    <phoneticPr fontId="2"/>
  </si>
  <si>
    <t>042-470-7747</t>
    <phoneticPr fontId="2"/>
  </si>
  <si>
    <t>042-475-8181
shogaifukushi@city.higashikurume.lg.jp</t>
    <phoneticPr fontId="2"/>
  </si>
  <si>
    <t>042-470-7777
(代表)</t>
    <phoneticPr fontId="2"/>
  </si>
  <si>
    <t>武蔵村山市障害者虐待防止センター
(武蔵村山市障害福祉課)</t>
    <phoneticPr fontId="2"/>
  </si>
  <si>
    <t>042-590-1185</t>
    <phoneticPr fontId="2"/>
  </si>
  <si>
    <t>042-562-3966</t>
    <phoneticPr fontId="2"/>
  </si>
  <si>
    <t>042-565-1111</t>
    <phoneticPr fontId="2"/>
  </si>
  <si>
    <t>多摩市障害福祉課</t>
    <phoneticPr fontId="2"/>
  </si>
  <si>
    <t>042-338-6847</t>
    <phoneticPr fontId="2"/>
  </si>
  <si>
    <t>042-371-1200</t>
    <phoneticPr fontId="2"/>
  </si>
  <si>
    <t>042-375-8111
(代表)</t>
    <phoneticPr fontId="2"/>
  </si>
  <si>
    <t>稲城市障害福祉課</t>
    <phoneticPr fontId="2"/>
  </si>
  <si>
    <t>042-378-2111
(内線229･230)</t>
    <phoneticPr fontId="2"/>
  </si>
  <si>
    <t>042-378-5677
shougaifukushi@city.inagi.lg.jp</t>
    <phoneticPr fontId="2"/>
  </si>
  <si>
    <t>042-378-2111</t>
    <phoneticPr fontId="2"/>
  </si>
  <si>
    <t>羽村市障害福祉課</t>
    <phoneticPr fontId="2"/>
  </si>
  <si>
    <t>042-555-1111
(内線185)</t>
    <phoneticPr fontId="2"/>
  </si>
  <si>
    <t>042-555-7323
s301100@city.hamura.tokyo.jp</t>
    <phoneticPr fontId="2"/>
  </si>
  <si>
    <t>042-555-1111</t>
    <phoneticPr fontId="2"/>
  </si>
  <si>
    <t>あきる野市障害者虐待防止センター</t>
    <phoneticPr fontId="2"/>
  </si>
  <si>
    <t>070-4197-0506</t>
    <phoneticPr fontId="2"/>
  </si>
  <si>
    <t>042-518-2827</t>
    <phoneticPr fontId="2"/>
  </si>
  <si>
    <t>070-4197-0506
(コールセンターでの受付)</t>
    <phoneticPr fontId="2"/>
  </si>
  <si>
    <t>あきる野市障がい者支援課</t>
    <phoneticPr fontId="2"/>
  </si>
  <si>
    <t>042-558-1157</t>
    <phoneticPr fontId="2"/>
  </si>
  <si>
    <t>042-558-1170</t>
    <phoneticPr fontId="2"/>
  </si>
  <si>
    <t>NG</t>
    <phoneticPr fontId="2"/>
  </si>
  <si>
    <t>西東京市障害福祉課</t>
    <phoneticPr fontId="2"/>
  </si>
  <si>
    <t>042-420-2805</t>
    <phoneticPr fontId="2"/>
  </si>
  <si>
    <t>042-466-9666
f-syougai@city.nishitokyo.lg.jp</t>
    <phoneticPr fontId="2"/>
  </si>
  <si>
    <t>042-464-1311
(代表)</t>
    <phoneticPr fontId="2"/>
  </si>
  <si>
    <t>瑞穂町福祉課</t>
    <phoneticPr fontId="2"/>
  </si>
  <si>
    <t>042-557-0574</t>
    <phoneticPr fontId="2"/>
  </si>
  <si>
    <t>042-556-3401</t>
    <phoneticPr fontId="2"/>
  </si>
  <si>
    <t>042-557-0501</t>
    <phoneticPr fontId="2"/>
  </si>
  <si>
    <t>日の出町福祉総務課</t>
    <phoneticPr fontId="2"/>
  </si>
  <si>
    <t>042-588-4112</t>
    <phoneticPr fontId="2"/>
  </si>
  <si>
    <t>042-597-4369
shogaishien@town.hinode.tokyo.jp</t>
    <phoneticPr fontId="2"/>
  </si>
  <si>
    <t>檜原村福祉けんこう課</t>
    <phoneticPr fontId="2"/>
  </si>
  <si>
    <t>042-598-3121</t>
    <phoneticPr fontId="2"/>
  </si>
  <si>
    <t>042-598-1263
kenkou@vill.hinohara.tokyo.jp</t>
    <phoneticPr fontId="2"/>
  </si>
  <si>
    <t>奥多摩町福祉保健課</t>
    <phoneticPr fontId="2"/>
  </si>
  <si>
    <t>0428-83-2777</t>
    <phoneticPr fontId="2"/>
  </si>
  <si>
    <t>0428-83-2833
hukushi@town.okutama.tokyo.jp</t>
    <phoneticPr fontId="2"/>
  </si>
  <si>
    <t>大島町福祉けんこう課</t>
    <phoneticPr fontId="2"/>
  </si>
  <si>
    <t>04992-2-1471</t>
    <phoneticPr fontId="2"/>
  </si>
  <si>
    <t>04992-2-4430
c050101i@town.tokyo-oshima.lg.jp</t>
    <phoneticPr fontId="2"/>
  </si>
  <si>
    <t>04992-2-1443</t>
    <phoneticPr fontId="2"/>
  </si>
  <si>
    <t>利島村住民課</t>
    <phoneticPr fontId="2"/>
  </si>
  <si>
    <t>04992-9-0013</t>
    <phoneticPr fontId="2"/>
  </si>
  <si>
    <t>04992-9-0190</t>
    <phoneticPr fontId="2"/>
  </si>
  <si>
    <t>新島村民生課</t>
    <phoneticPr fontId="2"/>
  </si>
  <si>
    <t>04992-5-0243</t>
    <phoneticPr fontId="2"/>
  </si>
  <si>
    <t>04992-5-1304</t>
    <phoneticPr fontId="2"/>
  </si>
  <si>
    <t>04992-5-0240</t>
    <phoneticPr fontId="2"/>
  </si>
  <si>
    <t>神津島村福祉課</t>
    <phoneticPr fontId="2"/>
  </si>
  <si>
    <t>04992-8-0011
 (内36)</t>
    <phoneticPr fontId="2"/>
  </si>
  <si>
    <t>04992-8-1242</t>
    <phoneticPr fontId="2"/>
  </si>
  <si>
    <t>三宅村福祉健康課</t>
    <phoneticPr fontId="2"/>
  </si>
  <si>
    <t>04994-5-0902</t>
    <phoneticPr fontId="2"/>
  </si>
  <si>
    <t>04994-5-0655</t>
    <phoneticPr fontId="2"/>
  </si>
  <si>
    <t>御蔵島村総務課</t>
    <phoneticPr fontId="2"/>
  </si>
  <si>
    <t>04994-8-2121</t>
    <phoneticPr fontId="2"/>
  </si>
  <si>
    <t>04994-8-2239</t>
    <phoneticPr fontId="2"/>
  </si>
  <si>
    <t>八丈町福祉健康課</t>
    <phoneticPr fontId="2"/>
  </si>
  <si>
    <t>04996-2-5570</t>
    <phoneticPr fontId="2"/>
  </si>
  <si>
    <t>04996-2-7923
kenko@town.hachijo.tokyo.jp</t>
    <phoneticPr fontId="2"/>
  </si>
  <si>
    <t>青ヶ島村総務課</t>
    <phoneticPr fontId="2"/>
  </si>
  <si>
    <t>04996-9-0111</t>
    <phoneticPr fontId="2"/>
  </si>
  <si>
    <t>04996-9-0001
s_minsei@vill.aogashima.lg.jp</t>
    <phoneticPr fontId="2"/>
  </si>
  <si>
    <t>小笠原村村民課</t>
    <phoneticPr fontId="2"/>
  </si>
  <si>
    <t>04998-2-3939</t>
    <phoneticPr fontId="2"/>
  </si>
  <si>
    <t>04998-2-3223
fukusi@vill.ogasawara.tokyo.jp</t>
    <phoneticPr fontId="2"/>
  </si>
  <si>
    <t>100-0003
千代田区一ツ橋1丁目1-1</t>
    <phoneticPr fontId="2"/>
  </si>
  <si>
    <t>104-8404
中央区築地1-1-1</t>
    <phoneticPr fontId="2"/>
  </si>
  <si>
    <t>105-8511
港区芝公園1-5-25</t>
    <phoneticPr fontId="2"/>
  </si>
  <si>
    <t>160-8484
新宿区歌舞伎町1-4-1</t>
    <phoneticPr fontId="2"/>
  </si>
  <si>
    <t>112-8555
文京区春日1-16-21</t>
    <phoneticPr fontId="2"/>
  </si>
  <si>
    <t>111-0051
台東区蔵前3-18-4
ライフコア蔵前2階</t>
    <phoneticPr fontId="2"/>
  </si>
  <si>
    <t>111-0022
台東区清川2-14-7</t>
    <phoneticPr fontId="2"/>
  </si>
  <si>
    <t>130-8640
墨田区吾妻橋1-23-20</t>
    <phoneticPr fontId="2"/>
  </si>
  <si>
    <t>135-8383
江東区東陽4-11-28</t>
    <phoneticPr fontId="2"/>
  </si>
  <si>
    <t>140-8715
品川区広町2-1-36</t>
    <phoneticPr fontId="2"/>
  </si>
  <si>
    <t>153-8573
目黒区上目黒2-19-15</t>
    <phoneticPr fontId="2"/>
  </si>
  <si>
    <t>143-0024
大田区中央4-30-11</t>
    <phoneticPr fontId="2"/>
  </si>
  <si>
    <t>154-8504
世田谷区世田谷4-22-33</t>
    <phoneticPr fontId="2"/>
  </si>
  <si>
    <t>155-8666
世田谷区北沢2-8-18 北沢タウンホール内</t>
    <phoneticPr fontId="2"/>
  </si>
  <si>
    <t>158-8503
世田谷区等々力3-4-1</t>
    <phoneticPr fontId="2"/>
  </si>
  <si>
    <t>157-8501 
世田谷区成城6-2-1</t>
    <phoneticPr fontId="2"/>
  </si>
  <si>
    <t>157-8555 
世田谷区南烏山6-22-14</t>
    <phoneticPr fontId="2"/>
  </si>
  <si>
    <t>150-8010
渋谷区宇田川町1-1</t>
    <phoneticPr fontId="2"/>
  </si>
  <si>
    <t>164-8501
中野区中野4-11-19</t>
    <phoneticPr fontId="2"/>
  </si>
  <si>
    <t>167-0032
杉並区天沼3-19-16
ウェルファーム杉並3階</t>
    <phoneticPr fontId="2"/>
  </si>
  <si>
    <t>171-0031
豊島区目白5-18-8</t>
    <phoneticPr fontId="2"/>
  </si>
  <si>
    <t>114-8508
北区王子本町1-15-22</t>
    <phoneticPr fontId="2"/>
  </si>
  <si>
    <t>116-8501
荒川区荒川2-2-3</t>
    <phoneticPr fontId="2"/>
  </si>
  <si>
    <t>175-0082
板橋区高島平9-25-12</t>
    <phoneticPr fontId="2"/>
  </si>
  <si>
    <t>173-8501
板橋区板橋2-66-1</t>
    <phoneticPr fontId="2"/>
  </si>
  <si>
    <t>175-0092
板橋区赤塚1-10-13</t>
    <phoneticPr fontId="2"/>
  </si>
  <si>
    <t>174-0046
板橋区蓮根2-5-5</t>
    <phoneticPr fontId="2"/>
  </si>
  <si>
    <t>173-0014
板橋区大山東町32-15</t>
    <phoneticPr fontId="2"/>
  </si>
  <si>
    <t>174-0075
板橋区桜川3-18-6</t>
    <phoneticPr fontId="2"/>
  </si>
  <si>
    <t>175-0082
板橋区高島平3-13-28</t>
    <phoneticPr fontId="2"/>
  </si>
  <si>
    <t>176-8501
練馬区豊玉北6-12-1</t>
    <phoneticPr fontId="2"/>
  </si>
  <si>
    <t>120-8510
足立区中央本町1-17-1(区役所北館1階)</t>
    <phoneticPr fontId="2"/>
  </si>
  <si>
    <t>121-0816
足立区梅島3-31-19</t>
    <phoneticPr fontId="2"/>
  </si>
  <si>
    <t>120-0036
足立区千住仲町19-3(千住福祉課内)</t>
    <phoneticPr fontId="2"/>
  </si>
  <si>
    <t>120-0004
足立区東綾瀬1-26-2(東部福祉課内)</t>
    <phoneticPr fontId="2"/>
  </si>
  <si>
    <t>123-0864
足立区鹿浜8-27-15(西部福祉課内)</t>
    <phoneticPr fontId="2"/>
  </si>
  <si>
    <t>121-8555
足立区竹の塚2-25-17(北部福祉課内)</t>
    <phoneticPr fontId="2"/>
  </si>
  <si>
    <t>120-0011
足立区中央本町1-5-3(足立保健所内)</t>
    <phoneticPr fontId="2"/>
  </si>
  <si>
    <t>121-0822
足立区西竹の塚1-11-2
エミエルタワー竹の塚2階</t>
    <phoneticPr fontId="2"/>
  </si>
  <si>
    <t>123-0872
足立区江北5-14-5</t>
    <phoneticPr fontId="2"/>
  </si>
  <si>
    <t>120-0036
足立区千住仲町19-3</t>
    <phoneticPr fontId="2"/>
  </si>
  <si>
    <t>120-0001
足立区大谷田3-11-13</t>
    <phoneticPr fontId="2"/>
  </si>
  <si>
    <t>124-8555
葛飾区立石5-13-1</t>
    <phoneticPr fontId="2"/>
  </si>
  <si>
    <t>132-8501
江戸川区中央1-4-1</t>
    <phoneticPr fontId="2"/>
  </si>
  <si>
    <t>192-8501
八王子市元本郷町3-24-1</t>
    <phoneticPr fontId="2"/>
  </si>
  <si>
    <t>190-0013
立川市富士見町2-36-47
(立川市総合福祉センター内)</t>
    <phoneticPr fontId="2"/>
  </si>
  <si>
    <t>190-8666
立川市泉町1156-9</t>
    <phoneticPr fontId="2"/>
  </si>
  <si>
    <t>180-8777
武蔵野市緑町2-2-28</t>
    <phoneticPr fontId="2"/>
  </si>
  <si>
    <t>181-8555
三鷹市野崎1-1-1</t>
    <phoneticPr fontId="2"/>
  </si>
  <si>
    <t>198-0014
青梅市大門2-261-1</t>
    <phoneticPr fontId="2"/>
  </si>
  <si>
    <t>198-8701
青梅市東青梅1-11-1</t>
    <phoneticPr fontId="2"/>
  </si>
  <si>
    <t>183-8703
府中市宮西町2-24</t>
    <phoneticPr fontId="2"/>
  </si>
  <si>
    <t>196-0015
昭島市昭和町1-6-13
仮設建物</t>
    <phoneticPr fontId="2"/>
  </si>
  <si>
    <t>182-8511
調布市小島町2-35-1</t>
    <phoneticPr fontId="2"/>
  </si>
  <si>
    <t xml:space="preserve">194-8520
町田市森野2-2-22 </t>
    <phoneticPr fontId="2"/>
  </si>
  <si>
    <t>184-0003
小金井市緑町4-17-10</t>
    <phoneticPr fontId="2"/>
  </si>
  <si>
    <t>187-8701
小平市小川町2-1333
(健康福祉事務センター内)</t>
    <phoneticPr fontId="2"/>
  </si>
  <si>
    <t>191-8686
日野市神明1-12-1</t>
    <phoneticPr fontId="2"/>
  </si>
  <si>
    <t>189-8501
東村山市本町1-2-3</t>
    <phoneticPr fontId="2"/>
  </si>
  <si>
    <t>189-0022
東村山市野口町1-25-15</t>
    <phoneticPr fontId="2"/>
  </si>
  <si>
    <t>185-0024
国分寺市泉町2-2-18</t>
    <phoneticPr fontId="2"/>
  </si>
  <si>
    <t>186-8501
国立市富士見台2-47-1</t>
    <phoneticPr fontId="2"/>
  </si>
  <si>
    <t>197-8501
福生市本町5</t>
    <phoneticPr fontId="2"/>
  </si>
  <si>
    <t>201-0012
狛江市中和泉3-23-23 障がい者基幹相談支援センター内</t>
    <phoneticPr fontId="2"/>
  </si>
  <si>
    <t>207-8585
東大和市中央3-930</t>
    <phoneticPr fontId="2"/>
  </si>
  <si>
    <t>204-8511
清瀬市中里5-842</t>
    <phoneticPr fontId="2"/>
  </si>
  <si>
    <t>203-8555
東久留米市本町3-3-1</t>
    <phoneticPr fontId="2"/>
  </si>
  <si>
    <t>208-8502
武蔵村山市学園4-5-1</t>
    <phoneticPr fontId="2"/>
  </si>
  <si>
    <t>206-8666
多摩市関戸6-12-1</t>
    <phoneticPr fontId="2"/>
  </si>
  <si>
    <t>206-8601
稲城市東長沼2111</t>
    <phoneticPr fontId="2"/>
  </si>
  <si>
    <t>205-8601
羽村市緑ヶ丘5-2-1</t>
    <phoneticPr fontId="2"/>
  </si>
  <si>
    <t>197-0814
あきる野市二宮670-5
秋川健康会館1階</t>
    <phoneticPr fontId="2"/>
  </si>
  <si>
    <t>197-0814
あきる野市二宮350</t>
    <phoneticPr fontId="2"/>
  </si>
  <si>
    <t>188-8666
西東京市南町5-6-13</t>
    <phoneticPr fontId="2"/>
  </si>
  <si>
    <t>190-1292
西多摩郡瑞穂町大字箱根ヶ崎2335</t>
    <phoneticPr fontId="2"/>
  </si>
  <si>
    <t>190-0192
西多摩郡日の出町大字平井２７８０</t>
    <phoneticPr fontId="2"/>
  </si>
  <si>
    <t>190-0211
西多摩郡檜原村2717</t>
    <phoneticPr fontId="2"/>
  </si>
  <si>
    <t>198-0212
西多摩郡奥多摩町氷川1111</t>
    <phoneticPr fontId="2"/>
  </si>
  <si>
    <t>100-0101
大島町元町1-1-14</t>
    <phoneticPr fontId="2"/>
  </si>
  <si>
    <t>100-0301
利島村248</t>
    <phoneticPr fontId="2"/>
  </si>
  <si>
    <t>100-0402
新島村本村1-1-1</t>
    <phoneticPr fontId="2"/>
  </si>
  <si>
    <t>100-0601
神津島村904</t>
    <phoneticPr fontId="2"/>
  </si>
  <si>
    <t>100-1212
三宅島三宅村阿古497</t>
    <phoneticPr fontId="2"/>
  </si>
  <si>
    <t>100-1301
御蔵島村字入かねが沢</t>
    <phoneticPr fontId="2"/>
  </si>
  <si>
    <t>100-1498
八丈町大賀郷2551-2</t>
    <phoneticPr fontId="2"/>
  </si>
  <si>
    <t>100-1701
青ヶ島村無番地</t>
    <phoneticPr fontId="2"/>
  </si>
  <si>
    <t>100-2101
小笠原村父島字西町</t>
    <phoneticPr fontId="2"/>
  </si>
  <si>
    <t>千代田区保健福祉オンブズパーソン（区福祉総務課）</t>
    <phoneticPr fontId="2"/>
  </si>
  <si>
    <t>03-5211-4211</t>
    <phoneticPr fontId="2"/>
  </si>
  <si>
    <t>ちよだ成年後見センター</t>
    <phoneticPr fontId="2"/>
  </si>
  <si>
    <t>03-6265-6521</t>
    <phoneticPr fontId="2"/>
  </si>
  <si>
    <t>中央区福祉サービス苦情対応委員会</t>
    <phoneticPr fontId="2"/>
  </si>
  <si>
    <t>03-3546-8373</t>
    <phoneticPr fontId="2"/>
  </si>
  <si>
    <t>FAX 03-3544-0505</t>
    <phoneticPr fontId="2"/>
  </si>
  <si>
    <t>成年後見支援センター</t>
    <phoneticPr fontId="2"/>
  </si>
  <si>
    <t>03-3206-0567</t>
    <phoneticPr fontId="2"/>
  </si>
  <si>
    <t>FAX 03-3523-6386, E-mail step@shakyo-chuo-city.jp</t>
    <phoneticPr fontId="2"/>
  </si>
  <si>
    <t>港区障害者サービス苦情解決委員会（区障害者福祉課）</t>
    <phoneticPr fontId="2"/>
  </si>
  <si>
    <t>03-3578-2826</t>
    <phoneticPr fontId="2"/>
  </si>
  <si>
    <t>権利擁護センター</t>
    <phoneticPr fontId="2"/>
  </si>
  <si>
    <t>03-6230-0283</t>
    <phoneticPr fontId="2"/>
  </si>
  <si>
    <t>FAX 03-6230-0285</t>
    <phoneticPr fontId="2"/>
  </si>
  <si>
    <t>福祉サービスに関する法律相談（区福祉部地域福祉課）</t>
    <phoneticPr fontId="2"/>
  </si>
  <si>
    <t>03-5273-3623</t>
    <phoneticPr fontId="2"/>
  </si>
  <si>
    <t>03-3812-3156</t>
    <phoneticPr fontId="2"/>
  </si>
  <si>
    <t>FAX 03-5800-2966, E-mail ansins@bunsyakyo.or.jp</t>
    <phoneticPr fontId="2"/>
  </si>
  <si>
    <t>03-5828-7507</t>
    <phoneticPr fontId="2"/>
  </si>
  <si>
    <t>すみだ福祉サービス権利擁護センター</t>
    <phoneticPr fontId="2"/>
  </si>
  <si>
    <t>03-5655-2940</t>
    <phoneticPr fontId="2"/>
  </si>
  <si>
    <t>FAX 03-3612-2944, E-mail kenri@sumida-shakyo.or.jp</t>
    <phoneticPr fontId="2"/>
  </si>
  <si>
    <t>03-3647-1710</t>
    <phoneticPr fontId="2"/>
  </si>
  <si>
    <t>FAX 03-5683-1570, E-mail kenri@koto-shakyo.or.jp</t>
    <phoneticPr fontId="2"/>
  </si>
  <si>
    <t>品川成年後見センター</t>
    <phoneticPr fontId="2"/>
  </si>
  <si>
    <t>03-5718-7174</t>
    <phoneticPr fontId="2"/>
  </si>
  <si>
    <t>03-5768-3963</t>
    <phoneticPr fontId="2"/>
  </si>
  <si>
    <t>FAX 03-5768-3965, E-mail kenri@meguroshakyo-i.net</t>
    <phoneticPr fontId="2"/>
  </si>
  <si>
    <t>大田区福祉オンブズマン</t>
    <phoneticPr fontId="2"/>
  </si>
  <si>
    <t>03-5744-1130</t>
    <phoneticPr fontId="2"/>
  </si>
  <si>
    <t>FAX 03-5744-1553</t>
    <phoneticPr fontId="2"/>
  </si>
  <si>
    <t>世田谷区保健福祉</t>
    <phoneticPr fontId="2"/>
  </si>
  <si>
    <t>03-5432-2605</t>
    <phoneticPr fontId="2"/>
  </si>
  <si>
    <t>FAX 03-5432-3017</t>
    <phoneticPr fontId="2"/>
  </si>
  <si>
    <t>渋谷区福祉サービス（区福祉部地域福祉課）</t>
    <phoneticPr fontId="2"/>
  </si>
  <si>
    <t>03-3463-1832</t>
    <phoneticPr fontId="2"/>
  </si>
  <si>
    <t>アシストなかの（権利擁護事業）</t>
    <phoneticPr fontId="2"/>
  </si>
  <si>
    <t>03-5380-6444</t>
    <phoneticPr fontId="2"/>
  </si>
  <si>
    <t>中野区福祉サービス苦情調整委員(区健康福祉部福祉推進課)</t>
    <phoneticPr fontId="2"/>
  </si>
  <si>
    <t>03-3228-8757</t>
    <phoneticPr fontId="2"/>
  </si>
  <si>
    <t>FAX 03-3228-5662</t>
    <phoneticPr fontId="2"/>
  </si>
  <si>
    <t>中野区民間福祉(区健康福祉部福祉推進課)</t>
    <phoneticPr fontId="2"/>
  </si>
  <si>
    <t>杉並区保健福祉（区保健福祉部管理課）(内 3086)</t>
    <phoneticPr fontId="2"/>
  </si>
  <si>
    <t>03-3312-2111</t>
    <phoneticPr fontId="2"/>
  </si>
  <si>
    <t>福祉サービス権利擁護支援室</t>
    <phoneticPr fontId="2"/>
  </si>
  <si>
    <t>03-3981-2940</t>
    <phoneticPr fontId="2"/>
  </si>
  <si>
    <t>FAX 03-3981-2946, E-mail siensitu@a.toshima.ne.jp</t>
    <phoneticPr fontId="2"/>
  </si>
  <si>
    <t>03-3908-7280</t>
    <phoneticPr fontId="2"/>
  </si>
  <si>
    <t>FAX 03-3905-4653, E-mail kenri@kitashakyo.or.jp</t>
    <phoneticPr fontId="2"/>
  </si>
  <si>
    <t>成年後見・権利擁護センター</t>
    <phoneticPr fontId="2"/>
  </si>
  <si>
    <t>03-3802-3396</t>
    <phoneticPr fontId="2"/>
  </si>
  <si>
    <t>FAX 03-3891-5290</t>
    <phoneticPr fontId="2"/>
  </si>
  <si>
    <t>板橋区保健福祉</t>
    <phoneticPr fontId="2"/>
  </si>
  <si>
    <t>03-3579-2890</t>
    <phoneticPr fontId="2"/>
  </si>
  <si>
    <t>練馬区保健福祉</t>
    <phoneticPr fontId="2"/>
  </si>
  <si>
    <t>03-5984-1472</t>
    <phoneticPr fontId="2"/>
  </si>
  <si>
    <t>FAX 03-3993-6371, E-mail KUJOCHOSEI@city.nerima.tokyo.jp</t>
    <phoneticPr fontId="2"/>
  </si>
  <si>
    <t>足立区基幹地域包括支援センター</t>
    <phoneticPr fontId="2"/>
  </si>
  <si>
    <t>03-6807-2460</t>
    <phoneticPr fontId="2"/>
  </si>
  <si>
    <t>FAX 03-3896-2302, E-mail kikan@adachisyakyo.jp</t>
    <phoneticPr fontId="2"/>
  </si>
  <si>
    <t>葛飾区福祉サービス苦情調整委員（区福祉部福祉管理課）</t>
    <phoneticPr fontId="2"/>
  </si>
  <si>
    <t>03-5654-8243</t>
    <phoneticPr fontId="2"/>
  </si>
  <si>
    <t>葛飾区成年後見センター</t>
    <phoneticPr fontId="2"/>
  </si>
  <si>
    <t>03-5672-2833</t>
    <phoneticPr fontId="2"/>
  </si>
  <si>
    <t>FAX 03-5698-2513, E-mail info@katsushika-shakyo.com</t>
    <phoneticPr fontId="2"/>
  </si>
  <si>
    <t>安心生活センター</t>
    <phoneticPr fontId="2"/>
  </si>
  <si>
    <t>03-3653-6275</t>
    <phoneticPr fontId="2"/>
  </si>
  <si>
    <t>FAX 03-5662-7689</t>
    <phoneticPr fontId="2"/>
  </si>
  <si>
    <t>成年後見・あんしんサポートセンター八王子</t>
    <phoneticPr fontId="2"/>
  </si>
  <si>
    <t>042-620-7365</t>
    <phoneticPr fontId="2"/>
  </si>
  <si>
    <t>地域あんしんセンターたちかわ</t>
    <phoneticPr fontId="2"/>
  </si>
  <si>
    <t>042-529-8319</t>
    <phoneticPr fontId="2"/>
  </si>
  <si>
    <t>武蔵野市福祉公社・権利擁護センター</t>
    <phoneticPr fontId="2"/>
  </si>
  <si>
    <t>0422-66-2987</t>
    <phoneticPr fontId="2"/>
  </si>
  <si>
    <t>三鷹市総合オンブズマン（市総合オンブズマン相談室）</t>
    <phoneticPr fontId="2"/>
  </si>
  <si>
    <t>0422-29-9165</t>
    <phoneticPr fontId="2"/>
  </si>
  <si>
    <t>権利擁護センターみたか</t>
    <phoneticPr fontId="2"/>
  </si>
  <si>
    <t>0422-46-1203</t>
    <phoneticPr fontId="2"/>
  </si>
  <si>
    <t>成年後見・権利擁護センターおうめ</t>
    <phoneticPr fontId="2"/>
  </si>
  <si>
    <t>0428-23-7868</t>
    <phoneticPr fontId="2"/>
  </si>
  <si>
    <t>FAX 0428-23-7165, E-mail kenri@omeshakyo.jp</t>
    <phoneticPr fontId="2"/>
  </si>
  <si>
    <t>権利擁護センターふちゅう</t>
    <phoneticPr fontId="2"/>
  </si>
  <si>
    <t>042-360-3900</t>
    <phoneticPr fontId="2"/>
  </si>
  <si>
    <t>昭島市総合オンブズパーソン（市企画部秘書課）</t>
    <phoneticPr fontId="2"/>
  </si>
  <si>
    <t>042-544-5111</t>
    <phoneticPr fontId="2"/>
  </si>
  <si>
    <t>FAX 042-544-5121, E-mail hishoka@city.akishima.lg.jp</t>
    <phoneticPr fontId="2"/>
  </si>
  <si>
    <t>調布市オンブズマン</t>
    <phoneticPr fontId="2"/>
  </si>
  <si>
    <t>042-481-7418</t>
    <phoneticPr fontId="2"/>
  </si>
  <si>
    <t>FAX 042-441-1199, E-mail soudan2@city.chofu.lg.jp</t>
    <phoneticPr fontId="2"/>
  </si>
  <si>
    <t>福祉サポートまちだ</t>
    <phoneticPr fontId="2"/>
  </si>
  <si>
    <t>042-720-9461</t>
    <phoneticPr fontId="2"/>
  </si>
  <si>
    <t>小金井市福祉サービス苦情調整委員</t>
    <phoneticPr fontId="2"/>
  </si>
  <si>
    <t>042-383-1225</t>
    <phoneticPr fontId="2"/>
  </si>
  <si>
    <t>FAX 042-383-1225</t>
    <phoneticPr fontId="2"/>
  </si>
  <si>
    <t>権利擁護センターこだいら</t>
    <phoneticPr fontId="2"/>
  </si>
  <si>
    <t>042-342-8780</t>
    <phoneticPr fontId="2"/>
  </si>
  <si>
    <t>日野市福祉オンブズ（市福祉政策課）</t>
    <phoneticPr fontId="2"/>
  </si>
  <si>
    <t>042-514-8469</t>
    <phoneticPr fontId="2"/>
  </si>
  <si>
    <t>E-mail fukusei@city.hino.lg.jp</t>
    <phoneticPr fontId="2"/>
  </si>
  <si>
    <t>東村山市社会福祉協議会</t>
    <phoneticPr fontId="2"/>
  </si>
  <si>
    <t>042-394-7767</t>
    <phoneticPr fontId="2"/>
  </si>
  <si>
    <t>FAX 042-393-0411, E-mail kenri@hm-shakyo.or.jp</t>
    <phoneticPr fontId="2"/>
  </si>
  <si>
    <t>権利擁護センター・こくぶんじ</t>
    <phoneticPr fontId="2"/>
  </si>
  <si>
    <t>042-312-0753</t>
    <phoneticPr fontId="2"/>
  </si>
  <si>
    <t>E-mail soudan@ko-shakyo.or.jp</t>
    <phoneticPr fontId="2"/>
  </si>
  <si>
    <t>国立市総合オンブズマン（オンブズマン事務局）</t>
    <phoneticPr fontId="2"/>
  </si>
  <si>
    <t>042-505-5127</t>
    <phoneticPr fontId="2"/>
  </si>
  <si>
    <t>成年後見センター福生</t>
    <phoneticPr fontId="2"/>
  </si>
  <si>
    <t>042-552-5027</t>
    <phoneticPr fontId="2"/>
  </si>
  <si>
    <t>E-mail chiken@fussashakyo.or.jp</t>
    <phoneticPr fontId="2"/>
  </si>
  <si>
    <t>あんしん狛江（福祉サービス利用者支援室）</t>
    <phoneticPr fontId="2"/>
  </si>
  <si>
    <t>03-3488-5603</t>
    <phoneticPr fontId="2"/>
  </si>
  <si>
    <t>あんしん東大和</t>
    <phoneticPr fontId="2"/>
  </si>
  <si>
    <t>042-590-0018</t>
    <phoneticPr fontId="2"/>
  </si>
  <si>
    <t>FAX 042-564-3680</t>
    <phoneticPr fontId="2"/>
  </si>
  <si>
    <t>きよせ権利擁護センター</t>
    <phoneticPr fontId="2"/>
  </si>
  <si>
    <t>042-495-5573</t>
    <phoneticPr fontId="2"/>
  </si>
  <si>
    <t>FAX 042-495-5335, E-mail kenri@kiyose-f.net</t>
    <phoneticPr fontId="2"/>
  </si>
  <si>
    <t>東久留米市社会福祉協議会</t>
    <phoneticPr fontId="2"/>
  </si>
  <si>
    <t>042-479-0294</t>
    <phoneticPr fontId="2"/>
  </si>
  <si>
    <t>FAX 042-476-4545</t>
    <phoneticPr fontId="2"/>
  </si>
  <si>
    <t>武蔵村山市社会福祉協議会</t>
    <phoneticPr fontId="2"/>
  </si>
  <si>
    <t>042-566-0061</t>
    <phoneticPr fontId="2"/>
  </si>
  <si>
    <t>FAX 042-566-0253</t>
    <phoneticPr fontId="2"/>
  </si>
  <si>
    <t>多摩市総合オンブズマン（オンブズマン事務局）</t>
    <phoneticPr fontId="2"/>
  </si>
  <si>
    <t>042-338-6809</t>
    <phoneticPr fontId="2"/>
  </si>
  <si>
    <t>FAX 042-338-6805, E-mail tm020000@city.tama.lg.jp</t>
    <phoneticPr fontId="2"/>
  </si>
  <si>
    <t>稲城市福祉権利擁護センター</t>
    <phoneticPr fontId="2"/>
  </si>
  <si>
    <t>042-378-5459</t>
    <phoneticPr fontId="2"/>
  </si>
  <si>
    <t>E-mail kenri@inagishakyo.org</t>
    <phoneticPr fontId="2"/>
  </si>
  <si>
    <t>羽村市社会福祉協議会</t>
    <phoneticPr fontId="2"/>
  </si>
  <si>
    <t>042-554-0304</t>
    <phoneticPr fontId="2"/>
  </si>
  <si>
    <t>FAX 042-555-7445, E-mail info@hamurashakyo.jp</t>
    <phoneticPr fontId="2"/>
  </si>
  <si>
    <t>あきる野市社会福祉協議会</t>
    <phoneticPr fontId="2"/>
  </si>
  <si>
    <t>042-533-3548</t>
    <phoneticPr fontId="2"/>
  </si>
  <si>
    <t>FAX 042-559-3561</t>
    <phoneticPr fontId="2"/>
  </si>
  <si>
    <t>042-497-5240</t>
    <phoneticPr fontId="2"/>
  </si>
  <si>
    <t>権利擁護センターみずほ</t>
    <phoneticPr fontId="2"/>
  </si>
  <si>
    <t>042-557-8201</t>
    <phoneticPr fontId="2"/>
  </si>
  <si>
    <t>FAX 042-557-6159</t>
    <phoneticPr fontId="2"/>
  </si>
  <si>
    <t>成年後見センターひので</t>
    <phoneticPr fontId="2"/>
  </si>
  <si>
    <t>042-588-4511</t>
    <phoneticPr fontId="2"/>
  </si>
  <si>
    <t>FAX 042-597-7150, E-mail kouken@hinodeshakyo.jpn.org</t>
    <phoneticPr fontId="2"/>
  </si>
  <si>
    <t>檜原村社会福祉協議会</t>
    <phoneticPr fontId="2"/>
  </si>
  <si>
    <t>042-598-0085</t>
    <phoneticPr fontId="2"/>
  </si>
  <si>
    <t>FAX 042-598-0487</t>
    <phoneticPr fontId="2"/>
  </si>
  <si>
    <t>奥多摩町社会福祉協議会</t>
    <phoneticPr fontId="2"/>
  </si>
  <si>
    <t>0428-83-3855</t>
    <phoneticPr fontId="2"/>
  </si>
  <si>
    <t>福祉サービス運営適正</t>
    <phoneticPr fontId="2"/>
  </si>
  <si>
    <t>03-5283-7020</t>
    <phoneticPr fontId="2"/>
  </si>
  <si>
    <t>FAX 03-5283-6997, E-mail kaiketsu@tcsw.tvac.or.jp</t>
    <phoneticPr fontId="2"/>
  </si>
  <si>
    <t>東京都国民健康保険団体連合会</t>
    <phoneticPr fontId="2"/>
  </si>
  <si>
    <t>03-6238-0177</t>
    <phoneticPr fontId="2"/>
  </si>
  <si>
    <t>千代田区九段南 1-2-1 （区福祉総務課）</t>
    <phoneticPr fontId="2"/>
  </si>
  <si>
    <t>千代田区九段南 1-6-10 かがやきプラザ 4 階</t>
    <phoneticPr fontId="2"/>
  </si>
  <si>
    <t>中央区築地 1-1-1</t>
    <phoneticPr fontId="2"/>
  </si>
  <si>
    <t>中央区八丁堀 4-1-5 ※中央区八丁堀 3-17-9 京華 スクエア（令和 8 年 9 月～ 令和 9 年 9 月一時移転予定）</t>
    <phoneticPr fontId="2"/>
  </si>
  <si>
    <t>港区芝公園 1-5-25,（区障害者福祉課）</t>
    <phoneticPr fontId="2"/>
  </si>
  <si>
    <t>港区六本木 5-16-45 麻布地区総合支所 2 階</t>
    <phoneticPr fontId="2"/>
  </si>
  <si>
    <t>新宿区歌舞伎町 1-4-1 （区福祉部地域福祉課）</t>
    <phoneticPr fontId="2"/>
  </si>
  <si>
    <t>文京区本郷 4-15-14,区民センター4 階</t>
    <phoneticPr fontId="2"/>
  </si>
  <si>
    <t>台東区下谷 1-2-11</t>
    <phoneticPr fontId="2"/>
  </si>
  <si>
    <t>墨田区東向島 2-17-14</t>
    <phoneticPr fontId="2"/>
  </si>
  <si>
    <t>江東区東陽 6-2-17,高齢者総合福祉センター2 階</t>
    <phoneticPr fontId="2"/>
  </si>
  <si>
    <t>品川区大井 1-14-1 大井 1 丁目共同ビル 4 階</t>
    <phoneticPr fontId="2"/>
  </si>
  <si>
    <t>目黒区上目黒 2-19-15 区庁舎 1 階</t>
    <phoneticPr fontId="2"/>
  </si>
  <si>
    <t>大田区蒲田 5-13-14,大田区役所本庁舎２階</t>
    <phoneticPr fontId="2"/>
  </si>
  <si>
    <t>世田谷区世田谷 4-21-27 区役所第 2 庁舎 2 階</t>
    <phoneticPr fontId="2"/>
  </si>
  <si>
    <t>渋谷区宇田川町 1-1 （区福祉部地域福祉課）</t>
    <phoneticPr fontId="2"/>
  </si>
  <si>
    <t>中野区中野 4-11-19 区庁舎４階</t>
    <phoneticPr fontId="2"/>
  </si>
  <si>
    <t>中野区中野 4-11-19 (区健康福祉部福祉推進課)</t>
    <phoneticPr fontId="2"/>
  </si>
  <si>
    <t>中野区中野 4-11-19,(区健康福祉部福祉推進課)</t>
    <phoneticPr fontId="2"/>
  </si>
  <si>
    <t>杉並区阿佐谷南 1-15-1 （区保健福祉部管理課）,(内 3086)</t>
    <phoneticPr fontId="2"/>
  </si>
  <si>
    <t>豊島区東池袋 1-39-2,豊島区役所東池袋分庁舎 4 階</t>
    <phoneticPr fontId="2"/>
  </si>
  <si>
    <t>北区岸町 1-6-17</t>
    <phoneticPr fontId="2"/>
  </si>
  <si>
    <t>荒川区南千住 1-13-20</t>
    <phoneticPr fontId="2"/>
  </si>
  <si>
    <t>板橋区板橋 2-66-1,板橋区役所北館 8 階</t>
    <phoneticPr fontId="2"/>
  </si>
  <si>
    <t>練馬区豊玉北 6-12-1,区役所西庁舎 10 階</t>
    <phoneticPr fontId="2"/>
  </si>
  <si>
    <t>足立区江北 5-14-5 すこやかプラザあだち 3 階</t>
    <phoneticPr fontId="2"/>
  </si>
  <si>
    <t>葛飾区立石 5-13-1,（区福祉部福祉管理課）</t>
    <phoneticPr fontId="2"/>
  </si>
  <si>
    <t>葛飾区堀切 3-34-1 地域福祉･障害者センター3 階</t>
    <phoneticPr fontId="2"/>
  </si>
  <si>
    <t>江戸川区松島 1-38-1,グリーンパレス 1 階</t>
    <phoneticPr fontId="2"/>
  </si>
  <si>
    <t>八王子市元本郷町 3-24-1 市役所内</t>
    <phoneticPr fontId="2"/>
  </si>
  <si>
    <t>立川市富士見町 2-36-47</t>
    <phoneticPr fontId="2"/>
  </si>
  <si>
    <t>武蔵野市吉祥寺北町 1-9-1,ささえーるむさしの</t>
    <phoneticPr fontId="2"/>
  </si>
  <si>
    <t>三鷹市野崎 1-1-1 （市総合オンブズマン相談室）</t>
    <phoneticPr fontId="2"/>
  </si>
  <si>
    <t>三鷹市新川 6-37-1 三鷹中央防災公園・元気創造プ,ラザ 3 階</t>
    <phoneticPr fontId="2"/>
  </si>
  <si>
    <t>青梅市東青梅 1-177-3,福祉センター2 階</t>
    <phoneticPr fontId="2"/>
  </si>
  <si>
    <t>府中市府中町 1-30 市立ふれあい会館内</t>
    <phoneticPr fontId="2"/>
  </si>
  <si>
    <t>昭島市田中町 1-17-1 （市企画部秘書課）</t>
    <phoneticPr fontId="2"/>
  </si>
  <si>
    <t>調布市小島町 2-35-1</t>
    <phoneticPr fontId="2"/>
  </si>
  <si>
    <t>町田市原町田 4-9-8,町田市民フォーラム 4 階</t>
    <phoneticPr fontId="2"/>
  </si>
  <si>
    <t>小金井市本町 6-6-3 市役所第二庁舎 8 階</t>
    <phoneticPr fontId="2"/>
  </si>
  <si>
    <t>小平市学園東町 1-19-13 福祉会館 2 階</t>
    <phoneticPr fontId="2"/>
  </si>
  <si>
    <t>日野市神明 1-12-1 （市福祉政策課）</t>
    <phoneticPr fontId="2"/>
  </si>
  <si>
    <t>東村山市野口町 1-25-15,東村山市地域福祉センター内</t>
    <phoneticPr fontId="2"/>
  </si>
  <si>
    <t>国分寺市泉町 2-3-8,いずみプラザ 1 階</t>
    <phoneticPr fontId="2"/>
  </si>
  <si>
    <t>国立市富士見台 2-47-1 （オンブズマン事務局）</t>
    <phoneticPr fontId="2"/>
  </si>
  <si>
    <t>福生市南田園 2-13-1 福祉センター内</t>
    <phoneticPr fontId="2"/>
  </si>
  <si>
    <t>狛江市元和泉 2-35-1,あいとぴあセンター内</t>
    <phoneticPr fontId="2"/>
  </si>
  <si>
    <t>東大和市中央 3-912-3</t>
    <phoneticPr fontId="2"/>
  </si>
  <si>
    <t>清瀬市下清戸 1-212-4 清瀬市コミュニティプラザ</t>
    <phoneticPr fontId="2"/>
  </si>
  <si>
    <t>東久留米市滝山 4-3-14 わくわく健康プラザ内</t>
    <phoneticPr fontId="2"/>
  </si>
  <si>
    <t>武蔵村山市学園 4-5-1,武蔵村山市民総合ｾﾝﾀｰ内</t>
    <phoneticPr fontId="2"/>
  </si>
  <si>
    <t>多摩市関戸 6-12-1 （オンブズマン事務局）</t>
    <phoneticPr fontId="2"/>
  </si>
  <si>
    <t>稲城市百村７,稲城市福祉センター内</t>
    <phoneticPr fontId="2"/>
  </si>
  <si>
    <t>羽村市栄町 2-18-1 羽村市福祉センター内</t>
    <phoneticPr fontId="2"/>
  </si>
  <si>
    <t>あきる野市平沢 175-4 秋川ふれあいセンター内</t>
    <phoneticPr fontId="2"/>
  </si>
  <si>
    <t>西東京市田無町 5-5-12 田無総合福祉センター4Ｆ</t>
    <phoneticPr fontId="2"/>
  </si>
  <si>
    <t>西多摩郡瑞穂町大字石畑 2008 瑞穂町ふれあいセンター1 階</t>
    <phoneticPr fontId="2"/>
  </si>
  <si>
    <t>西多摩郡日の出町平井 2780</t>
    <phoneticPr fontId="2"/>
  </si>
  <si>
    <t>西多摩郡檜原村 2717</t>
    <phoneticPr fontId="2"/>
  </si>
  <si>
    <t>西多摩郡奥多摩町氷川 199 奥多摩町福祉会館 1F</t>
    <phoneticPr fontId="2"/>
  </si>
  <si>
    <t>千代田区神田駿河台 1-8-11 東京YWCA 会館 3 階</t>
    <phoneticPr fontId="2"/>
  </si>
  <si>
    <t>介護相談指導課 千代田区飯田橋 3-5-1 東京区政会館 10 階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</si>
</sst>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10"/>
      <color theme="1"/>
      <name val="MS PGothic"/>
      <family val="3"/>
    </font>
    <font>
      <sz val="6"/>
      <name val="游ゴシック"/>
      <family val="2"/>
      <charset val="128"/>
      <scheme val="minor"/>
    </font>
    <font>
      <sz val="10"/>
      <color rgb="FFFF0000"/>
      <name val="MS PGothic"/>
      <family val="3"/>
      <charset val="128"/>
    </font>
    <font>
      <u/>
      <sz val="11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1" applyNumberFormat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15">
    <dxf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PGothic"/>
        <family val="3"/>
        <scheme val="none"/>
      </font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PGothic"/>
        <family val="3"/>
        <scheme val="none"/>
      </font>
      <numFmt numFmtId="0" formatCode="General"/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70E80B-8EA5-4F7C-B581-34E03D91D51F}" name="テーブル1" displayName="テーブル1" ref="A1:F94" totalsRowShown="0" headerRowDxfId="14" dataDxfId="13">
  <autoFilter ref="A1:F94" xr:uid="{9E70E80B-8EA5-4F7C-B581-34E03D91D51F}"/>
  <tableColumns count="6">
    <tableColumn id="1" xr3:uid="{42A74E60-CA19-4110-B2C2-EA51A1562B81}" name="名称" dataDxfId="12"/>
    <tableColumn id="2" xr3:uid="{DDBB7AE3-3956-4EC6-BFB1-CE9DB30C49F8}" name="電話" dataDxfId="11"/>
    <tableColumn id="3" xr3:uid="{8C66B17D-B794-4E60-8536-9883D0433407}" name="FAX・_x000a_メールアドレス" dataDxfId="10"/>
    <tableColumn id="4" xr3:uid="{510088F5-CA2D-4D15-A835-4ED52A2E7AC2}" name="休日・夜間の_x000a_連絡先" dataDxfId="9"/>
    <tableColumn id="5" xr3:uid="{3C7DE1EC-BF26-40CB-8D2D-EE47143B77FE}" name="所在地" dataDxfId="8"/>
    <tableColumn id="6" xr3:uid="{12AF9453-D96A-433F-8083-226A0267F126}" name="URL(※検索して公式ホームページか要確認※）" dataDxfId="7" dataCellStyle="ハイパーリンク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377DBC-309B-4305-8716-A2D97DD80621}" name="テーブル2" displayName="テーブル2" ref="A1:E63" totalsRowShown="0" headerRowDxfId="1" dataDxfId="0">
  <autoFilter ref="A1:E63" xr:uid="{3F377DBC-309B-4305-8716-A2D97DD80621}"/>
  <tableColumns count="5">
    <tableColumn id="1" xr3:uid="{38ECC6D7-5C5C-45BE-9993-7973FDCF9EF0}" name="名称" dataDxfId="6"/>
    <tableColumn id="2" xr3:uid="{123A2172-4F59-459E-864C-A4E9352DFB6E}" name="電話" dataDxfId="5"/>
    <tableColumn id="3" xr3:uid="{E413BE42-0B00-4F04-BC83-6BD417C1E6E1}" name="FAX・_x000a_メールアドレス" dataDxfId="4"/>
    <tableColumn id="4" xr3:uid="{A05AAD7F-92BF-4A41-A8EA-B53A87EBA551}" name="所在地" dataDxfId="3"/>
    <tableColumn id="5" xr3:uid="{E0B78EFC-922C-48A7-BDD2-12ADD16874C8}" name="URL" dataDxfId="2" dataCellStyle="ハイパーリンク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261CB-F7EA-490C-BBCF-BA915C25FC46}">
  <dimension ref="A1:F94"/>
  <sheetViews>
    <sheetView workbookViewId="0">
      <selection activeCell="C18" sqref="C18"/>
    </sheetView>
  </sheetViews>
  <sheetFormatPr defaultRowHeight="17.649999999999999"/>
  <cols>
    <col min="1" max="1" width="21.5625" bestFit="1" customWidth="1"/>
    <col min="2" max="2" width="19.5" bestFit="1" customWidth="1"/>
    <col min="3" max="3" width="21.625" bestFit="1" customWidth="1"/>
    <col min="4" max="4" width="20.4375" bestFit="1" customWidth="1"/>
    <col min="5" max="5" width="20.875" bestFit="1" customWidth="1"/>
    <col min="6" max="6" width="40.4375" bestFit="1" customWidth="1"/>
  </cols>
  <sheetData>
    <row r="1" spans="1:6" ht="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</row>
    <row r="2" spans="1:6" ht="70.5">
      <c r="A2" s="2" t="s">
        <v>7</v>
      </c>
      <c r="B2" s="2" t="s">
        <v>8</v>
      </c>
      <c r="C2" s="2" t="s">
        <v>9</v>
      </c>
      <c r="D2" s="2" t="s">
        <v>10</v>
      </c>
      <c r="E2" s="2" t="s">
        <v>322</v>
      </c>
      <c r="F2" s="3" t="str">
        <f>HYPERLINK("https://hirai-luminal.or.jp/office/light/","ホームページ")</f>
        <v>ホームページ</v>
      </c>
    </row>
    <row r="3" spans="1:6" ht="52.9">
      <c r="A3" s="2" t="s">
        <v>11</v>
      </c>
      <c r="B3" s="2" t="s">
        <v>12</v>
      </c>
      <c r="C3" s="2" t="s">
        <v>13</v>
      </c>
      <c r="D3" s="2" t="s">
        <v>14</v>
      </c>
      <c r="E3" s="2" t="s">
        <v>323</v>
      </c>
      <c r="F3" s="3" t="str">
        <f>HYPERLINK("https://www.city.chuo.lg.jp/a0006/kusei/gaiyou/soshiki/fukushi/shogaisha.html","ホームページ")</f>
        <v>ホームページ</v>
      </c>
    </row>
    <row r="4" spans="1:6" ht="52.9">
      <c r="A4" s="2" t="s">
        <v>15</v>
      </c>
      <c r="B4" s="2" t="s">
        <v>16</v>
      </c>
      <c r="C4" s="2" t="s">
        <v>17</v>
      </c>
      <c r="D4" s="2" t="s">
        <v>18</v>
      </c>
      <c r="E4" s="2" t="s">
        <v>324</v>
      </c>
      <c r="F4" s="3" t="str">
        <f>HYPERLINK("https://www.city.minato.tokyo.jp/kenko/fukushi/shogaisha/madoguchi/gyakutai-b.html","ホームページ")</f>
        <v>ホームページ</v>
      </c>
    </row>
    <row r="5" spans="1:6" ht="52.9">
      <c r="A5" s="2" t="s">
        <v>19</v>
      </c>
      <c r="B5" s="2" t="s">
        <v>20</v>
      </c>
      <c r="C5" s="2" t="s">
        <v>21</v>
      </c>
      <c r="D5" s="2" t="s">
        <v>22</v>
      </c>
      <c r="E5" s="2" t="s">
        <v>325</v>
      </c>
      <c r="F5" s="3" t="str">
        <f>HYPERLINK("https://www.city.shinjuku.lg.jp/fukushi/shogai01_001052.html","ホームページ")</f>
        <v>ホームページ</v>
      </c>
    </row>
    <row r="6" spans="1:6" ht="70.5">
      <c r="A6" s="2" t="s">
        <v>23</v>
      </c>
      <c r="B6" s="2" t="s">
        <v>24</v>
      </c>
      <c r="C6" s="2" t="s">
        <v>25</v>
      </c>
      <c r="D6" s="2" t="s">
        <v>26</v>
      </c>
      <c r="E6" s="2" t="s">
        <v>326</v>
      </c>
      <c r="F6" s="3" t="str">
        <f>HYPERLINK("https://www.city.bunkyo.lg.jp/b018/p003464.html","ホームページ")</f>
        <v>ホームページ</v>
      </c>
    </row>
    <row r="7" spans="1:6" ht="70.5">
      <c r="A7" s="2" t="s">
        <v>27</v>
      </c>
      <c r="B7" s="2" t="s">
        <v>28</v>
      </c>
      <c r="C7" s="2" t="s">
        <v>29</v>
      </c>
      <c r="D7" s="2" t="s">
        <v>30</v>
      </c>
      <c r="E7" s="2" t="s">
        <v>327</v>
      </c>
      <c r="F7" s="3" t="str">
        <f>HYPERLINK("https://tmcomac.wixsite.com/taitotmcom/%E6%94%AF%E6%8F%B4%E3%82%BB%E3%83%B3%E3%82%BF%E3%83%BC%E3%81%82%E3%81%95%E3%81%8C%E3%81%8A","ホームページ")</f>
        <v>ホームページ</v>
      </c>
    </row>
    <row r="8" spans="1:6" ht="70.5">
      <c r="A8" s="2" t="s">
        <v>31</v>
      </c>
      <c r="B8" s="2" t="s">
        <v>32</v>
      </c>
      <c r="C8" s="2" t="s">
        <v>33</v>
      </c>
      <c r="D8" s="2" t="s">
        <v>32</v>
      </c>
      <c r="E8" s="2" t="s">
        <v>328</v>
      </c>
      <c r="F8" s="3" t="str">
        <f>HYPERLINK("http://www.care-net.biz/13/seihoukai-hourai/c04.php","ホームページ")</f>
        <v>ホームページ</v>
      </c>
    </row>
    <row r="9" spans="1:6" ht="88.15">
      <c r="A9" s="2" t="s">
        <v>34</v>
      </c>
      <c r="B9" s="2" t="s">
        <v>35</v>
      </c>
      <c r="C9" s="2" t="s">
        <v>36</v>
      </c>
      <c r="D9" s="2" t="s">
        <v>37</v>
      </c>
      <c r="E9" s="2" t="s">
        <v>329</v>
      </c>
      <c r="F9" s="3" t="str">
        <f>HYPERLINK("https://www.city.sumida.lg.jp/kenko_fukushi/syougai/sagetu_kaisyo/gyakutaituuhou.html","ホームページ")</f>
        <v>ホームページ</v>
      </c>
    </row>
    <row r="10" spans="1:6" ht="52.9">
      <c r="A10" s="2" t="s">
        <v>38</v>
      </c>
      <c r="B10" s="2" t="s">
        <v>39</v>
      </c>
      <c r="C10" s="2" t="s">
        <v>40</v>
      </c>
      <c r="D10" s="2" t="s">
        <v>39</v>
      </c>
      <c r="E10" s="2" t="s">
        <v>330</v>
      </c>
      <c r="F10" s="3" t="str">
        <f>HYPERLINK("https://www.city.koto.lg.jp/222065/fukushi/shogaisha/sodan/70136.html","ホームページ")</f>
        <v>ホームページ</v>
      </c>
    </row>
    <row r="11" spans="1:6" ht="52.9">
      <c r="A11" s="2" t="s">
        <v>41</v>
      </c>
      <c r="B11" s="2" t="s">
        <v>42</v>
      </c>
      <c r="C11" s="2" t="s">
        <v>43</v>
      </c>
      <c r="D11" s="2" t="s">
        <v>44</v>
      </c>
      <c r="E11" s="2" t="s">
        <v>331</v>
      </c>
      <c r="F11" s="3" t="str">
        <f>HYPERLINK("https://www.city.shinagawa.tokyo.jp/PC/kenkou/kenkou-syogai/hpg000033232.html","ホームページ")</f>
        <v>ホームページ</v>
      </c>
    </row>
    <row r="12" spans="1:6" ht="52.9">
      <c r="A12" s="2" t="s">
        <v>45</v>
      </c>
      <c r="B12" s="2" t="s">
        <v>46</v>
      </c>
      <c r="C12" s="2" t="s">
        <v>47</v>
      </c>
      <c r="D12" s="2" t="s">
        <v>46</v>
      </c>
      <c r="E12" s="2" t="s">
        <v>332</v>
      </c>
      <c r="F12" s="3" t="str">
        <f>HYPERLINK("https://www.city.meguro.tokyo.jp/shougaishien/kenkoufukushi/shougaisha/shogyakubou.html","ホームページ")</f>
        <v>ホームページ</v>
      </c>
    </row>
    <row r="13" spans="1:6" ht="70.5">
      <c r="A13" s="2" t="s">
        <v>48</v>
      </c>
      <c r="B13" s="2" t="s">
        <v>49</v>
      </c>
      <c r="C13" s="2" t="s">
        <v>50</v>
      </c>
      <c r="D13" s="2" t="s">
        <v>51</v>
      </c>
      <c r="E13" s="2" t="s">
        <v>333</v>
      </c>
      <c r="F13" s="3" t="str">
        <f>HYPERLINK("https://www.city.ota.tokyo.jp/seikatsu/sodan/shougai/gyakutai-kara-mamoru.html","ホームページ")</f>
        <v>ホームページ</v>
      </c>
    </row>
    <row r="14" spans="1:6" ht="52.9">
      <c r="A14" s="2" t="s">
        <v>52</v>
      </c>
      <c r="B14" s="2" t="s">
        <v>53</v>
      </c>
      <c r="C14" s="2" t="s">
        <v>54</v>
      </c>
      <c r="D14" s="2" t="s">
        <v>55</v>
      </c>
      <c r="E14" s="2" t="s">
        <v>334</v>
      </c>
      <c r="F14" s="3" t="str">
        <f>HYPERLINK("https://www.city.setagaya.lg.jp/02200/8147.html","ホームページ")</f>
        <v>ホームページ</v>
      </c>
    </row>
    <row r="15" spans="1:6" ht="52.9">
      <c r="A15" s="2" t="s">
        <v>56</v>
      </c>
      <c r="B15" s="2" t="s">
        <v>57</v>
      </c>
      <c r="C15" s="2" t="s">
        <v>58</v>
      </c>
      <c r="D15" s="2" t="s">
        <v>55</v>
      </c>
      <c r="E15" s="2" t="s">
        <v>335</v>
      </c>
      <c r="F15" s="3" t="str">
        <f>HYPERLINK("https://www.city.setagaya.lg.jp/02207/8162.html","ホームページ")</f>
        <v>ホームページ</v>
      </c>
    </row>
    <row r="16" spans="1:6" ht="52.9">
      <c r="A16" s="2" t="s">
        <v>59</v>
      </c>
      <c r="B16" s="2" t="s">
        <v>60</v>
      </c>
      <c r="C16" s="2" t="s">
        <v>61</v>
      </c>
      <c r="D16" s="2" t="s">
        <v>55</v>
      </c>
      <c r="E16" s="2" t="s">
        <v>336</v>
      </c>
      <c r="F16" s="3" t="str">
        <f>HYPERLINK("https://www.city.setagaya.lg.jp/02214/8180.html","ホームページ")</f>
        <v>ホームページ</v>
      </c>
    </row>
    <row r="17" spans="1:6" ht="35.25">
      <c r="A17" s="2" t="s">
        <v>62</v>
      </c>
      <c r="B17" s="2" t="s">
        <v>63</v>
      </c>
      <c r="C17" s="2" t="s">
        <v>64</v>
      </c>
      <c r="D17" s="2" t="s">
        <v>55</v>
      </c>
      <c r="E17" s="2" t="s">
        <v>337</v>
      </c>
      <c r="F17" s="3" t="str">
        <f>HYPERLINK("https://www.city.setagaya.lg.jp/02221/8197.html","ホームページ")</f>
        <v>ホームページ</v>
      </c>
    </row>
    <row r="18" spans="1:6" ht="52.9">
      <c r="A18" s="2" t="s">
        <v>65</v>
      </c>
      <c r="B18" s="2" t="s">
        <v>66</v>
      </c>
      <c r="C18" s="2" t="s">
        <v>67</v>
      </c>
      <c r="D18" s="2" t="s">
        <v>55</v>
      </c>
      <c r="E18" s="2" t="s">
        <v>338</v>
      </c>
      <c r="F18" s="3" t="str">
        <f>HYPERLINK("https://www.city.setagaya.lg.jp/02228/8215.html","ホームページ")</f>
        <v>ホームページ</v>
      </c>
    </row>
    <row r="19" spans="1:6" ht="52.9">
      <c r="A19" s="2" t="s">
        <v>68</v>
      </c>
      <c r="B19" s="2" t="s">
        <v>69</v>
      </c>
      <c r="C19" s="2" t="s">
        <v>70</v>
      </c>
      <c r="D19" s="2" t="s">
        <v>71</v>
      </c>
      <c r="E19" s="2" t="s">
        <v>339</v>
      </c>
      <c r="F19" s="3" t="str">
        <f>HYPERLINK("https://www.city.shibuya.tokyo.jp/kenko/shogai-seikatsu/kenri/gyakutaiboushi.html","ホームページ")</f>
        <v>ホームページ</v>
      </c>
    </row>
    <row r="20" spans="1:6" ht="70.5">
      <c r="A20" s="2" t="s">
        <v>72</v>
      </c>
      <c r="B20" s="2" t="s">
        <v>73</v>
      </c>
      <c r="C20" s="2" t="s">
        <v>74</v>
      </c>
      <c r="D20" s="2" t="s">
        <v>75</v>
      </c>
      <c r="E20" s="2" t="s">
        <v>340</v>
      </c>
      <c r="F20" s="3" t="str">
        <f>HYPERLINK("https://www.city.tokyo-nakano.lg.jp/ku-soshiki/kenkofukushibu/syogaifukushika.html","ホームページ")</f>
        <v>ホームページ</v>
      </c>
    </row>
    <row r="21" spans="1:6" ht="52.9">
      <c r="A21" s="2" t="s">
        <v>76</v>
      </c>
      <c r="B21" s="2" t="s">
        <v>77</v>
      </c>
      <c r="C21" s="2" t="s">
        <v>78</v>
      </c>
      <c r="D21" s="2" t="s">
        <v>79</v>
      </c>
      <c r="E21" s="2" t="s">
        <v>341</v>
      </c>
      <c r="F21" s="3" t="str">
        <f>HYPERLINK("https://www.city.suginami.tokyo.jp/s036/10304.html","ホームページ")</f>
        <v>ホームページ</v>
      </c>
    </row>
    <row r="22" spans="1:6" ht="70.5">
      <c r="A22" s="2" t="s">
        <v>80</v>
      </c>
      <c r="B22" s="2" t="s">
        <v>81</v>
      </c>
      <c r="C22" s="2" t="s">
        <v>82</v>
      </c>
      <c r="D22" s="2" t="s">
        <v>83</v>
      </c>
      <c r="E22" s="2" t="s">
        <v>342</v>
      </c>
      <c r="F22" s="3" t="str">
        <f>HYPERLINK("https://www.city.toshima.lg.jp/175/1903140941.html","ホームページ")</f>
        <v>ホームページ</v>
      </c>
    </row>
    <row r="23" spans="1:6" ht="52.9">
      <c r="A23" s="2" t="s">
        <v>84</v>
      </c>
      <c r="B23" s="2" t="s">
        <v>85</v>
      </c>
      <c r="C23" s="2" t="s">
        <v>86</v>
      </c>
      <c r="D23" s="2" t="s">
        <v>87</v>
      </c>
      <c r="E23" s="2" t="s">
        <v>343</v>
      </c>
      <c r="F23" s="3" t="str">
        <f>HYPERLINK("https://www.city.kita.lg.jp/socialcare-health/disabilities/1008744/1008777.html","ホームページ")</f>
        <v>ホームページ</v>
      </c>
    </row>
    <row r="24" spans="1:6" ht="52.9">
      <c r="A24" s="2" t="s">
        <v>88</v>
      </c>
      <c r="B24" s="2" t="s">
        <v>89</v>
      </c>
      <c r="C24" s="2" t="s">
        <v>90</v>
      </c>
      <c r="D24" s="2" t="s">
        <v>91</v>
      </c>
      <c r="E24" s="2" t="s">
        <v>344</v>
      </c>
      <c r="F24" s="3" t="str">
        <f>HYPERLINK("https://www.city.arakawa.tokyo.jp/a030/shougaisha/soudammadoguchi/fukushika.html","ホームページ")</f>
        <v>ホームページ</v>
      </c>
    </row>
    <row r="25" spans="1:6" ht="70.5">
      <c r="A25" s="2" t="s">
        <v>92</v>
      </c>
      <c r="B25" s="2" t="s">
        <v>93</v>
      </c>
      <c r="C25" s="2" t="s">
        <v>94</v>
      </c>
      <c r="D25" s="2" t="s">
        <v>95</v>
      </c>
      <c r="E25" s="2" t="s">
        <v>345</v>
      </c>
      <c r="F25" s="2" t="s">
        <v>96</v>
      </c>
    </row>
    <row r="26" spans="1:6" ht="35.25">
      <c r="A26" s="2" t="s">
        <v>97</v>
      </c>
      <c r="B26" s="2" t="s">
        <v>98</v>
      </c>
      <c r="C26" s="2" t="s">
        <v>99</v>
      </c>
      <c r="D26" s="2"/>
      <c r="E26" s="2" t="s">
        <v>346</v>
      </c>
      <c r="F26" s="3" t="str">
        <f>HYPERLINK("https://www.city.itabashi.tokyo.jp/kusei/soshiki/fukushi/1021920.html","ホームページ")</f>
        <v>ホームページ</v>
      </c>
    </row>
    <row r="27" spans="1:6" ht="52.9">
      <c r="A27" s="2" t="s">
        <v>100</v>
      </c>
      <c r="B27" s="2" t="s">
        <v>101</v>
      </c>
      <c r="C27" s="2"/>
      <c r="D27" s="2"/>
      <c r="E27" s="2" t="s">
        <v>346</v>
      </c>
      <c r="F27" s="3" t="str">
        <f>HYPERLINK("https://www.city.itabashi.tokyo.jp/kusei/soshiki/fukushi/1021920.html","ホームページ")</f>
        <v>ホームページ</v>
      </c>
    </row>
    <row r="28" spans="1:6" ht="52.9">
      <c r="A28" s="2" t="s">
        <v>102</v>
      </c>
      <c r="B28" s="2" t="s">
        <v>103</v>
      </c>
      <c r="C28" s="2"/>
      <c r="D28" s="2"/>
      <c r="E28" s="2" t="s">
        <v>347</v>
      </c>
      <c r="F28" s="3" t="str">
        <f>HYPERLINK("https://www.city.itabashi.tokyo.jp/kusei/soshiki/fukushi/1021920.html","ホームページ")</f>
        <v>ホームページ</v>
      </c>
    </row>
    <row r="29" spans="1:6" ht="52.9">
      <c r="A29" s="2" t="s">
        <v>104</v>
      </c>
      <c r="B29" s="2" t="s">
        <v>105</v>
      </c>
      <c r="C29" s="2"/>
      <c r="D29" s="2"/>
      <c r="E29" s="2" t="s">
        <v>348</v>
      </c>
      <c r="F29" s="3" t="str">
        <f>HYPERLINK("https://www.city.itabashi.tokyo.jp/kusei/soshiki/fukushi/1021920.html","ホームページ")</f>
        <v>ホームページ</v>
      </c>
    </row>
    <row r="30" spans="1:6" ht="35.25">
      <c r="A30" s="2" t="s">
        <v>106</v>
      </c>
      <c r="B30" s="2" t="s">
        <v>107</v>
      </c>
      <c r="C30" s="2"/>
      <c r="D30" s="2"/>
      <c r="E30" s="2" t="s">
        <v>349</v>
      </c>
      <c r="F30" s="3" t="str">
        <f>HYPERLINK("https://www.city.itabashi.tokyo.jp/kenko/soudan/kokoro/1002489.html","ホームページ")</f>
        <v>ホームページ</v>
      </c>
    </row>
    <row r="31" spans="1:6" ht="35.25">
      <c r="A31" s="2" t="s">
        <v>108</v>
      </c>
      <c r="B31" s="2" t="s">
        <v>109</v>
      </c>
      <c r="C31" s="2"/>
      <c r="D31" s="2"/>
      <c r="E31" s="2" t="s">
        <v>350</v>
      </c>
      <c r="F31" s="3" t="str">
        <f>HYPERLINK("https://www.city.itabashi.tokyo.jp/kenko/soudan/madoguchi/1002459.html","ホームページ")</f>
        <v>ホームページ</v>
      </c>
    </row>
    <row r="32" spans="1:6" ht="35.25">
      <c r="A32" s="2" t="s">
        <v>110</v>
      </c>
      <c r="B32" s="2" t="s">
        <v>111</v>
      </c>
      <c r="C32" s="2"/>
      <c r="D32" s="2"/>
      <c r="E32" s="2" t="s">
        <v>347</v>
      </c>
      <c r="F32" s="3" t="str">
        <f>HYPERLINK("https://www.city.itabashi.tokyo.jp/kusei/soshiki/kenkoikigai/1006934.html","ホームページ")</f>
        <v>ホームページ</v>
      </c>
    </row>
    <row r="33" spans="1:6" ht="35.25">
      <c r="A33" s="2" t="s">
        <v>112</v>
      </c>
      <c r="B33" s="2" t="s">
        <v>113</v>
      </c>
      <c r="C33" s="2"/>
      <c r="D33" s="2"/>
      <c r="E33" s="2" t="s">
        <v>348</v>
      </c>
      <c r="F33" s="3" t="str">
        <f>HYPERLINK("https://www.city.itabashi.tokyo.jp/kenko/soudan/kokoro/1002489.html","ホームページ")</f>
        <v>ホームページ</v>
      </c>
    </row>
    <row r="34" spans="1:6" ht="35.25">
      <c r="A34" s="2" t="s">
        <v>114</v>
      </c>
      <c r="B34" s="2" t="s">
        <v>115</v>
      </c>
      <c r="C34" s="2"/>
      <c r="D34" s="2"/>
      <c r="E34" s="2" t="s">
        <v>351</v>
      </c>
      <c r="F34" s="3" t="str">
        <f>HYPERLINK("https://www.city.itabashi.tokyo.jp/kenko/soudan/madoguchi/1002459.html","ホームページ")</f>
        <v>ホームページ</v>
      </c>
    </row>
    <row r="35" spans="1:6" ht="70.5">
      <c r="A35" s="2" t="s">
        <v>116</v>
      </c>
      <c r="B35" s="2" t="s">
        <v>117</v>
      </c>
      <c r="C35" s="2" t="s">
        <v>118</v>
      </c>
      <c r="D35" s="2" t="s">
        <v>119</v>
      </c>
      <c r="E35" s="2" t="s">
        <v>352</v>
      </c>
      <c r="F35" s="3" t="str">
        <f>HYPERLINK("https://www.city.nerima.tokyo.jp/hokenfukushi/shogai/sodan/gyakutaibousi.html","ホームページ")</f>
        <v>ホームページ</v>
      </c>
    </row>
    <row r="36" spans="1:6" ht="52.9">
      <c r="A36" s="2" t="s">
        <v>120</v>
      </c>
      <c r="B36" s="2" t="s">
        <v>121</v>
      </c>
      <c r="C36" s="2" t="s">
        <v>122</v>
      </c>
      <c r="D36" s="2" t="s">
        <v>123</v>
      </c>
      <c r="E36" s="2" t="s">
        <v>353</v>
      </c>
      <c r="F36" s="3" t="str">
        <f>HYPERLINK("https://www.city.adachi.tokyo.jp/shogai/gyakutai.html","ホームページ")</f>
        <v>ホームページ</v>
      </c>
    </row>
    <row r="37" spans="1:6" ht="52.9">
      <c r="A37" s="2" t="s">
        <v>124</v>
      </c>
      <c r="B37" s="2" t="s">
        <v>125</v>
      </c>
      <c r="C37" s="2" t="s">
        <v>122</v>
      </c>
      <c r="D37" s="2" t="s">
        <v>123</v>
      </c>
      <c r="E37" s="2" t="s">
        <v>353</v>
      </c>
      <c r="F37" s="3" t="str">
        <f>HYPERLINK("https://www.city.adachi.tokyo.jp/s-engo/kennriyougo.html","ホームページ")</f>
        <v>ホームページ</v>
      </c>
    </row>
    <row r="38" spans="1:6" ht="35.25">
      <c r="A38" s="2" t="s">
        <v>126</v>
      </c>
      <c r="B38" s="2" t="s">
        <v>127</v>
      </c>
      <c r="C38" s="2" t="s">
        <v>128</v>
      </c>
      <c r="D38" s="2" t="s">
        <v>123</v>
      </c>
      <c r="E38" s="2" t="s">
        <v>354</v>
      </c>
      <c r="F38" s="3" t="str">
        <f>HYPERLINK("https://www.city.adachi.tokyo.jp/shogai-c/fukushi-kenko/shinshin/sikaku.html","ホームページ")</f>
        <v>ホームページ</v>
      </c>
    </row>
    <row r="39" spans="1:6" ht="52.9">
      <c r="A39" s="2" t="s">
        <v>129</v>
      </c>
      <c r="B39" s="2" t="s">
        <v>130</v>
      </c>
      <c r="C39" s="2" t="s">
        <v>122</v>
      </c>
      <c r="D39" s="2" t="s">
        <v>123</v>
      </c>
      <c r="E39" s="2" t="s">
        <v>353</v>
      </c>
      <c r="F39" s="3" t="str">
        <f t="shared" ref="F39:F44" si="0">HYPERLINK("https://www.city.adachi.tokyo.jp/s-engo/engogakari2024.html","ホームページ")</f>
        <v>ホームページ</v>
      </c>
    </row>
    <row r="40" spans="1:6" ht="52.9">
      <c r="A40" s="2" t="s">
        <v>131</v>
      </c>
      <c r="B40" s="2" t="s">
        <v>132</v>
      </c>
      <c r="C40" s="2" t="s">
        <v>122</v>
      </c>
      <c r="D40" s="2" t="s">
        <v>123</v>
      </c>
      <c r="E40" s="2" t="s">
        <v>353</v>
      </c>
      <c r="F40" s="3" t="str">
        <f t="shared" si="0"/>
        <v>ホームページ</v>
      </c>
    </row>
    <row r="41" spans="1:6" ht="52.9">
      <c r="A41" s="2" t="s">
        <v>133</v>
      </c>
      <c r="B41" s="2" t="s">
        <v>134</v>
      </c>
      <c r="C41" s="2" t="s">
        <v>135</v>
      </c>
      <c r="D41" s="2" t="s">
        <v>123</v>
      </c>
      <c r="E41" s="2" t="s">
        <v>355</v>
      </c>
      <c r="F41" s="3" t="str">
        <f t="shared" si="0"/>
        <v>ホームページ</v>
      </c>
    </row>
    <row r="42" spans="1:6" ht="52.9">
      <c r="A42" s="2" t="s">
        <v>136</v>
      </c>
      <c r="B42" s="2" t="s">
        <v>137</v>
      </c>
      <c r="C42" s="2" t="s">
        <v>138</v>
      </c>
      <c r="D42" s="2" t="s">
        <v>123</v>
      </c>
      <c r="E42" s="2" t="s">
        <v>356</v>
      </c>
      <c r="F42" s="3" t="str">
        <f t="shared" si="0"/>
        <v>ホームページ</v>
      </c>
    </row>
    <row r="43" spans="1:6" ht="52.9">
      <c r="A43" s="2" t="s">
        <v>139</v>
      </c>
      <c r="B43" s="2" t="s">
        <v>140</v>
      </c>
      <c r="C43" s="2" t="s">
        <v>141</v>
      </c>
      <c r="D43" s="2" t="s">
        <v>123</v>
      </c>
      <c r="E43" s="2" t="s">
        <v>357</v>
      </c>
      <c r="F43" s="3" t="str">
        <f t="shared" si="0"/>
        <v>ホームページ</v>
      </c>
    </row>
    <row r="44" spans="1:6" ht="52.9">
      <c r="A44" s="2" t="s">
        <v>142</v>
      </c>
      <c r="B44" s="2" t="s">
        <v>143</v>
      </c>
      <c r="C44" s="2" t="s">
        <v>144</v>
      </c>
      <c r="D44" s="2" t="s">
        <v>123</v>
      </c>
      <c r="E44" s="2" t="s">
        <v>358</v>
      </c>
      <c r="F44" s="3" t="str">
        <f t="shared" si="0"/>
        <v>ホームページ</v>
      </c>
    </row>
    <row r="45" spans="1:6" ht="52.9">
      <c r="A45" s="2" t="s">
        <v>145</v>
      </c>
      <c r="B45" s="2" t="s">
        <v>146</v>
      </c>
      <c r="C45" s="2" t="s">
        <v>147</v>
      </c>
      <c r="D45" s="2" t="s">
        <v>123</v>
      </c>
      <c r="E45" s="2" t="s">
        <v>359</v>
      </c>
      <c r="F45" s="3" t="str">
        <f>HYPERLINK("https://www.city.adachi.tokyo.jp/chuo-h/chuuouhonchou.html","ホームページ")</f>
        <v>ホームページ</v>
      </c>
    </row>
    <row r="46" spans="1:6" ht="70.5">
      <c r="A46" s="2" t="s">
        <v>148</v>
      </c>
      <c r="B46" s="2" t="s">
        <v>149</v>
      </c>
      <c r="C46" s="2" t="s">
        <v>150</v>
      </c>
      <c r="D46" s="2" t="s">
        <v>123</v>
      </c>
      <c r="E46" s="2" t="s">
        <v>360</v>
      </c>
      <c r="F46" s="3" t="str">
        <f>HYPERLINK("https://www.city.adachi.tokyo.jp/takenotsuka-h/shisetsu/take-f1.html","ホームページ")</f>
        <v>ホームページ</v>
      </c>
    </row>
    <row r="47" spans="1:6" ht="35.25">
      <c r="A47" s="2" t="s">
        <v>151</v>
      </c>
      <c r="B47" s="2" t="s">
        <v>152</v>
      </c>
      <c r="C47" s="2" t="s">
        <v>153</v>
      </c>
      <c r="D47" s="2" t="s">
        <v>123</v>
      </c>
      <c r="E47" s="2" t="s">
        <v>361</v>
      </c>
      <c r="F47" s="3" t="str">
        <f>HYPERLINK("https://www.city.adachi.tokyo.jp/kohoku-h/202503212121.html","ホームページ")</f>
        <v>ホームページ</v>
      </c>
    </row>
    <row r="48" spans="1:6" ht="35.25">
      <c r="A48" s="2" t="s">
        <v>154</v>
      </c>
      <c r="B48" s="2" t="s">
        <v>155</v>
      </c>
      <c r="C48" s="2" t="s">
        <v>156</v>
      </c>
      <c r="D48" s="2" t="s">
        <v>123</v>
      </c>
      <c r="E48" s="2" t="s">
        <v>362</v>
      </c>
      <c r="F48" s="3" t="str">
        <f>HYPERLINK("https://www.city.adachi.tokyo.jp/senju-h/2026mainpage.html","ホームページ")</f>
        <v>ホームページ</v>
      </c>
    </row>
    <row r="49" spans="1:6" ht="35.25">
      <c r="A49" s="2" t="s">
        <v>157</v>
      </c>
      <c r="B49" s="2" t="s">
        <v>158</v>
      </c>
      <c r="C49" s="2" t="s">
        <v>159</v>
      </c>
      <c r="D49" s="2" t="s">
        <v>123</v>
      </c>
      <c r="E49" s="2" t="s">
        <v>363</v>
      </c>
      <c r="F49" s="3" t="str">
        <f>HYPERLINK("https://www.city.adachi.tokyo.jp/towa-h/shisetsu/tobu-f1.html","ホームページ")</f>
        <v>ホームページ</v>
      </c>
    </row>
    <row r="50" spans="1:6" ht="35.25">
      <c r="A50" s="2" t="s">
        <v>160</v>
      </c>
      <c r="B50" s="2" t="s">
        <v>161</v>
      </c>
      <c r="C50" s="2" t="s">
        <v>162</v>
      </c>
      <c r="D50" s="2" t="s">
        <v>163</v>
      </c>
      <c r="E50" s="2" t="s">
        <v>364</v>
      </c>
      <c r="F50" s="3" t="str">
        <f>HYPERLINK("https://www.city.katsushika.lg.jp/kenkou/1000053/1030192/1002253.html","ホームページ")</f>
        <v>ホームページ</v>
      </c>
    </row>
    <row r="51" spans="1:6" ht="35.25">
      <c r="A51" s="2" t="s">
        <v>164</v>
      </c>
      <c r="B51" s="2" t="s">
        <v>165</v>
      </c>
      <c r="C51" s="2" t="s">
        <v>166</v>
      </c>
      <c r="D51" s="2" t="s">
        <v>167</v>
      </c>
      <c r="E51" s="2" t="s">
        <v>365</v>
      </c>
      <c r="F51" s="3" t="str">
        <f>HYPERLINK("https://www.city.edogawa.tokyo.jp/e041/kenko/fukushikaigo/shogaisha/sodan/madoguchi.html","ホームページ")</f>
        <v>ホームページ</v>
      </c>
    </row>
    <row r="52" spans="1:6" ht="52.9">
      <c r="A52" s="2" t="s">
        <v>168</v>
      </c>
      <c r="B52" s="2" t="s">
        <v>169</v>
      </c>
      <c r="C52" s="2" t="s">
        <v>170</v>
      </c>
      <c r="D52" s="2" t="s">
        <v>171</v>
      </c>
      <c r="E52" s="2" t="s">
        <v>366</v>
      </c>
      <c r="F52" s="3" t="str">
        <f>HYPERLINK("https://www.city.hachioji.tokyo.jp/kurashi/welfare/005/010/p004340.html","ホームページ")</f>
        <v>ホームページ</v>
      </c>
    </row>
    <row r="53" spans="1:6" ht="70.5">
      <c r="A53" s="2" t="s">
        <v>172</v>
      </c>
      <c r="B53" s="2" t="s">
        <v>173</v>
      </c>
      <c r="C53" s="2" t="s">
        <v>174</v>
      </c>
      <c r="D53" s="2" t="s">
        <v>173</v>
      </c>
      <c r="E53" s="2" t="s">
        <v>367</v>
      </c>
      <c r="F53" s="3" t="str">
        <f>HYPERLINK("https://www.tachikawa-shakyo.or.jp/business-guide/core_support_center/","ホームページ")</f>
        <v>ホームページ</v>
      </c>
    </row>
    <row r="54" spans="1:6" ht="35.25">
      <c r="A54" s="2" t="s">
        <v>175</v>
      </c>
      <c r="B54" s="2" t="s">
        <v>176</v>
      </c>
      <c r="C54" s="2" t="s">
        <v>177</v>
      </c>
      <c r="D54" s="2"/>
      <c r="E54" s="2" t="s">
        <v>368</v>
      </c>
      <c r="F54" s="3" t="str">
        <f>HYPERLINK("https://www.city.tachikawa.lg.jp/shisei/gaiyo/1005932/1023642/1023721.html","ホームページ")</f>
        <v>ホームページ</v>
      </c>
    </row>
    <row r="55" spans="1:6" ht="70.5">
      <c r="A55" s="2" t="s">
        <v>178</v>
      </c>
      <c r="B55" s="2" t="s">
        <v>179</v>
      </c>
      <c r="C55" s="2" t="s">
        <v>180</v>
      </c>
      <c r="D55" s="2" t="s">
        <v>179</v>
      </c>
      <c r="E55" s="2" t="s">
        <v>369</v>
      </c>
      <c r="F55" s="3" t="str">
        <f>HYPERLINK("https://www.city.musashino.lg.jp/kenko_fukushi/shogaisha_fukushi/sodan/1006666.html","ホームページ")</f>
        <v>ホームページ</v>
      </c>
    </row>
    <row r="56" spans="1:6" ht="52.9">
      <c r="A56" s="2" t="s">
        <v>181</v>
      </c>
      <c r="B56" s="2" t="s">
        <v>182</v>
      </c>
      <c r="C56" s="2" t="s">
        <v>183</v>
      </c>
      <c r="D56" s="2" t="s">
        <v>184</v>
      </c>
      <c r="E56" s="2" t="s">
        <v>370</v>
      </c>
      <c r="F56" s="3" t="str">
        <f>HYPERLINK("https://www.city.mitaka.lg.jp/c_service/063/063602.html","ホームページ")</f>
        <v>ホームページ</v>
      </c>
    </row>
    <row r="57" spans="1:6" ht="52.9">
      <c r="A57" s="2" t="s">
        <v>185</v>
      </c>
      <c r="B57" s="2" t="s">
        <v>186</v>
      </c>
      <c r="C57" s="2" t="s">
        <v>187</v>
      </c>
      <c r="D57" s="2" t="s">
        <v>188</v>
      </c>
      <c r="E57" s="2" t="s">
        <v>371</v>
      </c>
      <c r="F57" s="3" t="str">
        <f>HYPERLINK("https://oume-support-center.amebaownd.com/","ホームページ")</f>
        <v>ホームページ</v>
      </c>
    </row>
    <row r="58" spans="1:6" ht="35.25">
      <c r="A58" s="2" t="s">
        <v>189</v>
      </c>
      <c r="B58" s="2" t="s">
        <v>190</v>
      </c>
      <c r="C58" s="2" t="s">
        <v>191</v>
      </c>
      <c r="D58" s="2" t="s">
        <v>192</v>
      </c>
      <c r="E58" s="2" t="s">
        <v>372</v>
      </c>
      <c r="F58" s="3" t="str">
        <f>HYPERLINK("https://www.city.ome.tokyo.jp/soshiki/31/","ホームページ")</f>
        <v>ホームページ</v>
      </c>
    </row>
    <row r="59" spans="1:6" ht="52.9">
      <c r="A59" s="2" t="s">
        <v>193</v>
      </c>
      <c r="B59" s="2" t="s">
        <v>194</v>
      </c>
      <c r="C59" s="2" t="s">
        <v>195</v>
      </c>
      <c r="D59" s="2" t="s">
        <v>196</v>
      </c>
      <c r="E59" s="2" t="s">
        <v>373</v>
      </c>
      <c r="F59" s="3" t="str">
        <f>HYPERLINK("https://www.city.fuchu.tokyo.jp/kenko/shogai/syougaigyakutai.html","ホームページ")</f>
        <v>ホームページ</v>
      </c>
    </row>
    <row r="60" spans="1:6" ht="70.5">
      <c r="A60" s="2" t="s">
        <v>197</v>
      </c>
      <c r="B60" s="2" t="s">
        <v>198</v>
      </c>
      <c r="C60" s="2" t="s">
        <v>199</v>
      </c>
      <c r="D60" s="2" t="s">
        <v>198</v>
      </c>
      <c r="E60" s="2" t="s">
        <v>374</v>
      </c>
      <c r="F60" s="3" t="str">
        <f>HYPERLINK("https://asuha.or.jp/pages/81/","ホームページ")</f>
        <v>ホームページ</v>
      </c>
    </row>
    <row r="61" spans="1:6" ht="35.25">
      <c r="A61" s="2" t="s">
        <v>200</v>
      </c>
      <c r="B61" s="2" t="s">
        <v>201</v>
      </c>
      <c r="C61" s="2" t="s">
        <v>202</v>
      </c>
      <c r="D61" s="2" t="s">
        <v>203</v>
      </c>
      <c r="E61" s="2" t="s">
        <v>375</v>
      </c>
      <c r="F61" s="3" t="str">
        <f>HYPERLINK("https://www.city.chofu.lg.jp/010040/p003232.html","ホームページ")</f>
        <v>ホームページ</v>
      </c>
    </row>
    <row r="62" spans="1:6" ht="52.9">
      <c r="A62" s="2" t="s">
        <v>204</v>
      </c>
      <c r="B62" s="2" t="s">
        <v>205</v>
      </c>
      <c r="C62" s="2" t="s">
        <v>206</v>
      </c>
      <c r="D62" s="2" t="s">
        <v>207</v>
      </c>
      <c r="E62" s="2" t="s">
        <v>376</v>
      </c>
      <c r="F62" s="3" t="str">
        <f>HYPERLINK("https://www.city.machida.tokyo.jp/iryo/syougai_hukushi/nitijoseikatsushien/sodan/syougaisyagyakutaiboushi.html","ホームページ")</f>
        <v>ホームページ</v>
      </c>
    </row>
    <row r="63" spans="1:6" ht="35.25">
      <c r="A63" s="2" t="s">
        <v>208</v>
      </c>
      <c r="B63" s="2" t="s">
        <v>209</v>
      </c>
      <c r="C63" s="2" t="s">
        <v>210</v>
      </c>
      <c r="D63" s="2" t="s">
        <v>209</v>
      </c>
      <c r="E63" s="2" t="s">
        <v>377</v>
      </c>
      <c r="F63" s="3" t="str">
        <f>HYPERLINK("https://www.city.koganei.lg.jp/kenkofukuhsi/shogaishafukushi/soudannmadoguchi/20130611.html","ホームページ")</f>
        <v>ホームページ</v>
      </c>
    </row>
    <row r="64" spans="1:6" ht="70.5">
      <c r="A64" s="2" t="s">
        <v>211</v>
      </c>
      <c r="B64" s="2" t="s">
        <v>212</v>
      </c>
      <c r="C64" s="2" t="s">
        <v>213</v>
      </c>
      <c r="D64" s="2" t="s">
        <v>214</v>
      </c>
      <c r="E64" s="2" t="s">
        <v>378</v>
      </c>
      <c r="F64" s="3" t="str">
        <f>HYPERLINK("https://www.city.kodaira.tokyo.jp/sections/syogai/index.html","ホームページ")</f>
        <v>ホームページ</v>
      </c>
    </row>
    <row r="65" spans="1:6" ht="35.25">
      <c r="A65" s="2" t="s">
        <v>215</v>
      </c>
      <c r="B65" s="2" t="s">
        <v>216</v>
      </c>
      <c r="C65" s="2" t="s">
        <v>217</v>
      </c>
      <c r="D65" s="2" t="s">
        <v>218</v>
      </c>
      <c r="E65" s="2" t="s">
        <v>379</v>
      </c>
      <c r="F65" s="3" t="str">
        <f>HYPERLINK("https://www.city.hino.lg.jp/shisei/profile/soshiki/kankofukushi/1004708.html","ホームページ")</f>
        <v>ホームページ</v>
      </c>
    </row>
    <row r="66" spans="1:6" ht="52.9">
      <c r="A66" s="2" t="s">
        <v>219</v>
      </c>
      <c r="B66" s="2" t="s">
        <v>220</v>
      </c>
      <c r="C66" s="2" t="s">
        <v>221</v>
      </c>
      <c r="D66" s="2" t="s">
        <v>220</v>
      </c>
      <c r="E66" s="2" t="s">
        <v>380</v>
      </c>
      <c r="F66" s="3" t="str">
        <f>HYPERLINK("https://www.city.higashimurayama.tokyo.jp/shisei/soshiki/kenkofukushi/shogaishien/index.html","ホームページ")</f>
        <v>ホームページ</v>
      </c>
    </row>
    <row r="67" spans="1:6" ht="35.25">
      <c r="A67" s="2" t="s">
        <v>222</v>
      </c>
      <c r="B67" s="2" t="s">
        <v>223</v>
      </c>
      <c r="C67" s="2" t="s">
        <v>224</v>
      </c>
      <c r="D67" s="2" t="s">
        <v>220</v>
      </c>
      <c r="E67" s="2" t="s">
        <v>381</v>
      </c>
      <c r="F67" s="3" t="str">
        <f>HYPERLINK("https://hm-shakyo.or.jp/service/consul/consul_disability/20210512_13.html","ホームページ")</f>
        <v>ホームページ</v>
      </c>
    </row>
    <row r="68" spans="1:6" ht="52.9">
      <c r="A68" s="2" t="s">
        <v>225</v>
      </c>
      <c r="B68" s="2" t="s">
        <v>226</v>
      </c>
      <c r="C68" s="2" t="s">
        <v>227</v>
      </c>
      <c r="D68" s="2" t="s">
        <v>228</v>
      </c>
      <c r="E68" s="2" t="s">
        <v>382</v>
      </c>
      <c r="F68" s="3" t="str">
        <f>HYPERLINK("https://www.city.kokubunji.tokyo.jp/kenkou-fukushi/syougaishien/1011462/1001602.html","ホームページ")</f>
        <v>ホームページ</v>
      </c>
    </row>
    <row r="69" spans="1:6" ht="52.9">
      <c r="A69" s="2" t="s">
        <v>229</v>
      </c>
      <c r="B69" s="2" t="s">
        <v>230</v>
      </c>
      <c r="C69" s="2" t="s">
        <v>231</v>
      </c>
      <c r="D69" s="2" t="s">
        <v>232</v>
      </c>
      <c r="E69" s="2" t="s">
        <v>383</v>
      </c>
      <c r="F69" s="3" t="str">
        <f>HYPERLINK("https://www.city.kunitachi.tokyo.jp/soshiki/Dept03/Div02/Sec02/index.html","ホームページ")</f>
        <v>ホームページ</v>
      </c>
    </row>
    <row r="70" spans="1:6" ht="35.25">
      <c r="A70" s="2" t="s">
        <v>233</v>
      </c>
      <c r="B70" s="2" t="s">
        <v>234</v>
      </c>
      <c r="C70" s="2" t="s">
        <v>235</v>
      </c>
      <c r="D70" s="2" t="s">
        <v>236</v>
      </c>
      <c r="E70" s="2" t="s">
        <v>384</v>
      </c>
      <c r="F70" s="3" t="str">
        <f>HYPERLINK("https://www.city.fussa.tokyo.jp/municipal/soshiki/annai/fukushihoken/1004409.html","ホームページ")</f>
        <v>ホームページ</v>
      </c>
    </row>
    <row r="71" spans="1:6" ht="70.5">
      <c r="A71" s="2" t="s">
        <v>237</v>
      </c>
      <c r="B71" s="2" t="s">
        <v>238</v>
      </c>
      <c r="C71" s="2" t="s">
        <v>239</v>
      </c>
      <c r="D71" s="2" t="s">
        <v>240</v>
      </c>
      <c r="E71" s="2" t="s">
        <v>385</v>
      </c>
      <c r="F71" s="3" t="str">
        <f>HYPERLINK("https://www.city.komae.tokyo.jp/index.cfm/46,62434,360,2157,html","ホームページ")</f>
        <v>ホームページ</v>
      </c>
    </row>
    <row r="72" spans="1:6" ht="52.9">
      <c r="A72" s="2" t="s">
        <v>241</v>
      </c>
      <c r="B72" s="2" t="s">
        <v>242</v>
      </c>
      <c r="C72" s="2" t="s">
        <v>243</v>
      </c>
      <c r="D72" s="2" t="s">
        <v>242</v>
      </c>
      <c r="E72" s="2" t="s">
        <v>386</v>
      </c>
      <c r="F72" s="3" t="str">
        <f>HYPERLINK("https://www.city.higashiyamato.lg.jp/shisei/soshiki/1004193/1010768/1010771.html","ホームページ")</f>
        <v>ホームページ</v>
      </c>
    </row>
    <row r="73" spans="1:6" ht="35.25">
      <c r="A73" s="2" t="s">
        <v>244</v>
      </c>
      <c r="B73" s="2" t="s">
        <v>245</v>
      </c>
      <c r="C73" s="2" t="s">
        <v>246</v>
      </c>
      <c r="D73" s="2" t="s">
        <v>247</v>
      </c>
      <c r="E73" s="2" t="s">
        <v>387</v>
      </c>
      <c r="F73" s="3" t="str">
        <f>HYPERLINK("https://www.city.kiyose.lg.jp/siseijouhou/sosikisigoto/kakukagoannai/1005095.html","ホームページ")</f>
        <v>ホームページ</v>
      </c>
    </row>
    <row r="74" spans="1:6" ht="52.9">
      <c r="A74" s="2" t="s">
        <v>248</v>
      </c>
      <c r="B74" s="2" t="s">
        <v>249</v>
      </c>
      <c r="C74" s="2" t="s">
        <v>250</v>
      </c>
      <c r="D74" s="2" t="s">
        <v>251</v>
      </c>
      <c r="E74" s="2" t="s">
        <v>388</v>
      </c>
      <c r="F74" s="3" t="str">
        <f>HYPERLINK("https://www.city.higashikurume.lg.jp/shisei/shiyakusho/gyoumu/fukushihoken/1003649.html","ホームページ")</f>
        <v>ホームページ</v>
      </c>
    </row>
    <row r="75" spans="1:6" ht="52.9">
      <c r="A75" s="2" t="s">
        <v>252</v>
      </c>
      <c r="B75" s="2" t="s">
        <v>253</v>
      </c>
      <c r="C75" s="2" t="s">
        <v>254</v>
      </c>
      <c r="D75" s="2" t="s">
        <v>255</v>
      </c>
      <c r="E75" s="2" t="s">
        <v>389</v>
      </c>
      <c r="F75" s="3" t="str">
        <f>HYPERLINK("https://www.city.musashimurayama.lg.jp/kurashi/shougai/1012129/gyakutaiboushi/1000733.html","ホームページ")</f>
        <v>ホームページ</v>
      </c>
    </row>
    <row r="76" spans="1:6" ht="35.25">
      <c r="A76" s="2" t="s">
        <v>256</v>
      </c>
      <c r="B76" s="2" t="s">
        <v>257</v>
      </c>
      <c r="C76" s="2" t="s">
        <v>258</v>
      </c>
      <c r="D76" s="2" t="s">
        <v>259</v>
      </c>
      <c r="E76" s="2" t="s">
        <v>390</v>
      </c>
      <c r="F76" s="3" t="str">
        <f>HYPERLINK("https://www.city.tama.lg.jp/kenkofukushi/1008237/shoigai/soudan/1018683.html","ホームページ")</f>
        <v>ホームページ</v>
      </c>
    </row>
    <row r="77" spans="1:6" ht="52.9">
      <c r="A77" s="2" t="s">
        <v>260</v>
      </c>
      <c r="B77" s="2" t="s">
        <v>261</v>
      </c>
      <c r="C77" s="2" t="s">
        <v>262</v>
      </c>
      <c r="D77" s="2" t="s">
        <v>263</v>
      </c>
      <c r="E77" s="2" t="s">
        <v>391</v>
      </c>
      <c r="F77" s="3" t="str">
        <f>HYPERLINK("https://www.city.inagi.tokyo.jp/shisei/gyoumu/1005960/1005983/1005986.html","ホームページ")</f>
        <v>ホームページ</v>
      </c>
    </row>
    <row r="78" spans="1:6" ht="52.9">
      <c r="A78" s="2" t="s">
        <v>264</v>
      </c>
      <c r="B78" s="2" t="s">
        <v>265</v>
      </c>
      <c r="C78" s="2" t="s">
        <v>266</v>
      </c>
      <c r="D78" s="2" t="s">
        <v>267</v>
      </c>
      <c r="E78" s="2" t="s">
        <v>392</v>
      </c>
      <c r="F78" s="3" t="str">
        <f>HYPERLINK("https://www.city.hamura.tokyo.jp/soshiki/5-2-0-0-0_1.html","ホームページ")</f>
        <v>ホームページ</v>
      </c>
    </row>
    <row r="79" spans="1:6" ht="52.9">
      <c r="A79" s="2" t="s">
        <v>268</v>
      </c>
      <c r="B79" s="2" t="s">
        <v>269</v>
      </c>
      <c r="C79" s="2" t="s">
        <v>270</v>
      </c>
      <c r="D79" s="2" t="s">
        <v>271</v>
      </c>
      <c r="E79" s="2" t="s">
        <v>393</v>
      </c>
      <c r="F79" s="3" t="str">
        <f>HYPERLINK("https://www.city.akiruno.tokyo.jp/0000004391.html","ホームページ")</f>
        <v>ホームページ</v>
      </c>
    </row>
    <row r="80" spans="1:6" ht="35.25">
      <c r="A80" s="2" t="s">
        <v>272</v>
      </c>
      <c r="B80" s="2" t="s">
        <v>273</v>
      </c>
      <c r="C80" s="2" t="s">
        <v>274</v>
      </c>
      <c r="D80" s="2"/>
      <c r="E80" s="2" t="s">
        <v>394</v>
      </c>
      <c r="F80" s="2" t="s">
        <v>275</v>
      </c>
    </row>
    <row r="81" spans="1:6" ht="70.5">
      <c r="A81" s="2" t="s">
        <v>276</v>
      </c>
      <c r="B81" s="2" t="s">
        <v>277</v>
      </c>
      <c r="C81" s="2" t="s">
        <v>278</v>
      </c>
      <c r="D81" s="2" t="s">
        <v>279</v>
      </c>
      <c r="E81" s="2" t="s">
        <v>395</v>
      </c>
      <c r="F81" s="3" t="str">
        <f>HYPERLINK("https://www.city.nishitokyo.lg.jp/siseizyoho/sosiki/fukushi/f_syougai.html","ホームページ")</f>
        <v>ホームページ</v>
      </c>
    </row>
    <row r="82" spans="1:6" ht="52.9">
      <c r="A82" s="2" t="s">
        <v>280</v>
      </c>
      <c r="B82" s="2" t="s">
        <v>281</v>
      </c>
      <c r="C82" s="2" t="s">
        <v>282</v>
      </c>
      <c r="D82" s="2" t="s">
        <v>283</v>
      </c>
      <c r="E82" s="2" t="s">
        <v>396</v>
      </c>
      <c r="F82" s="3" t="str">
        <f>HYPERLINK("https://www.town.mizuho.tokyo.jp/dept/130000/130100/130102/index.html","ホームページ")</f>
        <v>ホームページ</v>
      </c>
    </row>
    <row r="83" spans="1:6" ht="70.5">
      <c r="A83" s="2" t="s">
        <v>284</v>
      </c>
      <c r="B83" s="2" t="s">
        <v>285</v>
      </c>
      <c r="C83" s="2" t="s">
        <v>286</v>
      </c>
      <c r="D83" s="2"/>
      <c r="E83" s="2" t="s">
        <v>397</v>
      </c>
      <c r="F83" s="3" t="str">
        <f>HYPERLINK("https://www.town.hinode.tokyo.jp/soshiki/26-2-0-0-0_2.html","ホームページ")</f>
        <v>ホームページ</v>
      </c>
    </row>
    <row r="84" spans="1:6" ht="52.9">
      <c r="A84" s="2" t="s">
        <v>287</v>
      </c>
      <c r="B84" s="2" t="s">
        <v>288</v>
      </c>
      <c r="C84" s="2" t="s">
        <v>289</v>
      </c>
      <c r="D84" s="2"/>
      <c r="E84" s="2" t="s">
        <v>398</v>
      </c>
      <c r="F84" s="3" t="str">
        <f>HYPERLINK("https://www.vill.hinohara.tokyo.jp/soshiki/4-1-0-0-0_5.html","ホームページ")</f>
        <v>ホームページ</v>
      </c>
    </row>
    <row r="85" spans="1:6" ht="52.9">
      <c r="A85" s="2" t="s">
        <v>290</v>
      </c>
      <c r="B85" s="2" t="s">
        <v>291</v>
      </c>
      <c r="C85" s="2" t="s">
        <v>292</v>
      </c>
      <c r="D85" s="2"/>
      <c r="E85" s="2" t="s">
        <v>399</v>
      </c>
      <c r="F85" s="3" t="str">
        <f>HYPERLINK("https://www.town.okutama.tokyo.jp/1/fukushihokenka/yakubashokai/485.html","ホームページ")</f>
        <v>ホームページ</v>
      </c>
    </row>
    <row r="86" spans="1:6" ht="52.9">
      <c r="A86" s="2" t="s">
        <v>293</v>
      </c>
      <c r="B86" s="2" t="s">
        <v>294</v>
      </c>
      <c r="C86" s="2" t="s">
        <v>295</v>
      </c>
      <c r="D86" s="2" t="s">
        <v>296</v>
      </c>
      <c r="E86" s="2" t="s">
        <v>400</v>
      </c>
      <c r="F86" s="3" t="str">
        <f>HYPERLINK("https://www.town.oshima.tokyo.jp/soshiki/kenkou/","ホームページ")</f>
        <v>ホームページ</v>
      </c>
    </row>
    <row r="87" spans="1:6" ht="35.25">
      <c r="A87" s="2" t="s">
        <v>297</v>
      </c>
      <c r="B87" s="2" t="s">
        <v>298</v>
      </c>
      <c r="C87" s="2" t="s">
        <v>299</v>
      </c>
      <c r="D87" s="2"/>
      <c r="E87" s="2" t="s">
        <v>401</v>
      </c>
      <c r="F87" s="3" t="str">
        <f>HYPERLINK("https://www.toshimamura.org/life/procedure/notification.html","ホームページ")</f>
        <v>ホームページ</v>
      </c>
    </row>
    <row r="88" spans="1:6" ht="35.25">
      <c r="A88" s="2" t="s">
        <v>300</v>
      </c>
      <c r="B88" s="2" t="s">
        <v>301</v>
      </c>
      <c r="C88" s="2" t="s">
        <v>302</v>
      </c>
      <c r="D88" s="2" t="s">
        <v>303</v>
      </c>
      <c r="E88" s="2" t="s">
        <v>402</v>
      </c>
      <c r="F88" s="3" t="str">
        <f>HYPERLINK("https://www.niijima.com/soshiki/minseika/index.html","ホームページ")</f>
        <v>ホームページ</v>
      </c>
    </row>
    <row r="89" spans="1:6" ht="35.25">
      <c r="A89" s="2" t="s">
        <v>304</v>
      </c>
      <c r="B89" s="2" t="s">
        <v>305</v>
      </c>
      <c r="C89" s="2" t="s">
        <v>306</v>
      </c>
      <c r="D89" s="2"/>
      <c r="E89" s="2" t="s">
        <v>403</v>
      </c>
      <c r="F89" s="3" t="str">
        <f>HYPERLINK("https://www.vill.kouzushima.tokyo.jp/busyo/fukushi/","ホームページ")</f>
        <v>ホームページ</v>
      </c>
    </row>
    <row r="90" spans="1:6" ht="35.25">
      <c r="A90" s="2" t="s">
        <v>307</v>
      </c>
      <c r="B90" s="2" t="s">
        <v>308</v>
      </c>
      <c r="C90" s="2" t="s">
        <v>309</v>
      </c>
      <c r="D90" s="2"/>
      <c r="E90" s="2" t="s">
        <v>404</v>
      </c>
      <c r="F90" s="3" t="str">
        <f>HYPERLINK("https://www.vill.miyake.tokyo.jp/kakuka/sonminseikatsu/","ホームページ")</f>
        <v>ホームページ</v>
      </c>
    </row>
    <row r="91" spans="1:6" ht="35.25">
      <c r="A91" s="2" t="s">
        <v>310</v>
      </c>
      <c r="B91" s="2" t="s">
        <v>311</v>
      </c>
      <c r="C91" s="2" t="s">
        <v>312</v>
      </c>
      <c r="D91" s="2" t="s">
        <v>311</v>
      </c>
      <c r="E91" s="2" t="s">
        <v>405</v>
      </c>
      <c r="F91" s="3" t="str">
        <f>HYPERLINK("https://www.vill.mikurasima.tokyo.jp/","ホームページ")</f>
        <v>ホームページ</v>
      </c>
    </row>
    <row r="92" spans="1:6" ht="52.9">
      <c r="A92" s="2" t="s">
        <v>313</v>
      </c>
      <c r="B92" s="2" t="s">
        <v>314</v>
      </c>
      <c r="C92" s="2" t="s">
        <v>315</v>
      </c>
      <c r="D92" s="2"/>
      <c r="E92" s="2" t="s">
        <v>406</v>
      </c>
      <c r="F92" s="3" t="str">
        <f>HYPERLINK("https://www.town.hachijo.tokyo.jp/chousei/shinseisho/kenkou-iryou-s/","ホームページ")</f>
        <v>ホームページ</v>
      </c>
    </row>
    <row r="93" spans="1:6" ht="70.5">
      <c r="A93" s="2" t="s">
        <v>316</v>
      </c>
      <c r="B93" s="2" t="s">
        <v>317</v>
      </c>
      <c r="C93" s="2" t="s">
        <v>318</v>
      </c>
      <c r="D93" s="2"/>
      <c r="E93" s="2" t="s">
        <v>407</v>
      </c>
      <c r="F93" s="3" t="str">
        <f>HYPERLINK("https://www.vill.aogashima.tokyo.jp/contact/","ホームページ")</f>
        <v>ホームページ</v>
      </c>
    </row>
    <row r="94" spans="1:6" ht="52.9">
      <c r="A94" s="2" t="s">
        <v>319</v>
      </c>
      <c r="B94" s="2" t="s">
        <v>320</v>
      </c>
      <c r="C94" s="2" t="s">
        <v>321</v>
      </c>
      <c r="D94" s="2"/>
      <c r="E94" s="2" t="s">
        <v>408</v>
      </c>
      <c r="F94" s="3" t="str">
        <f>HYPERLINK("https://www.vill.ogasawara.tokyo.jp/sonmin/","ホームページ")</f>
        <v>ホームページ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03363-43B8-46C8-A3C3-CB72C41DC146}">
  <dimension ref="A1:E63"/>
  <sheetViews>
    <sheetView tabSelected="1" workbookViewId="0">
      <selection activeCell="C18" sqref="C18"/>
    </sheetView>
  </sheetViews>
  <sheetFormatPr defaultRowHeight="17.649999999999999"/>
  <cols>
    <col min="1" max="1" width="21.5625" bestFit="1" customWidth="1"/>
    <col min="2" max="2" width="12.8125" bestFit="1" customWidth="1"/>
    <col min="3" max="3" width="20.8125" bestFit="1" customWidth="1"/>
    <col min="4" max="4" width="21.5625" bestFit="1" customWidth="1"/>
    <col min="5" max="5" width="11.9375" bestFit="1" customWidth="1"/>
  </cols>
  <sheetData>
    <row r="1" spans="1:5" ht="24">
      <c r="A1" s="4" t="s">
        <v>0</v>
      </c>
      <c r="B1" s="4" t="s">
        <v>1</v>
      </c>
      <c r="C1" s="4" t="s">
        <v>2</v>
      </c>
      <c r="D1" s="4" t="s">
        <v>4</v>
      </c>
      <c r="E1" s="4" t="s">
        <v>5</v>
      </c>
    </row>
    <row r="2" spans="1:5" ht="52.9">
      <c r="A2" s="5" t="s">
        <v>409</v>
      </c>
      <c r="B2" s="5" t="s">
        <v>410</v>
      </c>
      <c r="C2" s="5"/>
      <c r="D2" s="5" t="s">
        <v>563</v>
      </c>
      <c r="E2" s="3" t="str">
        <f>HYPERLINK("https://www.city.chiyoda.lg.jp/koho/kenko/koresha/sodan/ombudsman.html","ホームページ")</f>
        <v>ホームページ</v>
      </c>
    </row>
    <row r="3" spans="1:5" ht="35.25">
      <c r="A3" s="5" t="s">
        <v>411</v>
      </c>
      <c r="B3" s="5" t="s">
        <v>412</v>
      </c>
      <c r="C3" s="5"/>
      <c r="D3" s="5" t="s">
        <v>564</v>
      </c>
      <c r="E3" s="5"/>
    </row>
    <row r="4" spans="1:5" ht="35.25">
      <c r="A4" s="5" t="s">
        <v>413</v>
      </c>
      <c r="B4" s="5" t="s">
        <v>414</v>
      </c>
      <c r="C4" s="5" t="s">
        <v>415</v>
      </c>
      <c r="D4" s="5" t="s">
        <v>565</v>
      </c>
      <c r="E4" s="3" t="str">
        <f>HYPERLINK("https://www.city.chuo.lg.jp/a0019/kujo.html","ホームページ")</f>
        <v>ホームページ</v>
      </c>
    </row>
    <row r="5" spans="1:5" ht="88.15">
      <c r="A5" s="5" t="s">
        <v>416</v>
      </c>
      <c r="B5" s="5" t="s">
        <v>417</v>
      </c>
      <c r="C5" s="5" t="s">
        <v>418</v>
      </c>
      <c r="D5" s="5" t="s">
        <v>566</v>
      </c>
      <c r="E5" s="3" t="str">
        <f>HYPERLINK("https://www.shakyo-chuo-city.jp/","ホームページ")</f>
        <v>ホームページ</v>
      </c>
    </row>
    <row r="6" spans="1:5" ht="52.9">
      <c r="A6" s="5" t="s">
        <v>419</v>
      </c>
      <c r="B6" s="5" t="s">
        <v>420</v>
      </c>
      <c r="C6" s="5"/>
      <c r="D6" s="5" t="s">
        <v>567</v>
      </c>
      <c r="E6" s="3" t="str">
        <f>HYPERLINK("https://www.city.minato.tokyo.jp/kenko/fukushi/shogaisha/madoguchi/kujokaiketsu.html","ホームページ")</f>
        <v>ホームページ</v>
      </c>
    </row>
    <row r="7" spans="1:5" ht="35.25">
      <c r="A7" s="5" t="s">
        <v>421</v>
      </c>
      <c r="B7" s="5" t="s">
        <v>422</v>
      </c>
      <c r="C7" s="5" t="s">
        <v>423</v>
      </c>
      <c r="D7" s="5" t="s">
        <v>568</v>
      </c>
      <c r="E7" s="5"/>
    </row>
    <row r="8" spans="1:5" ht="52.9">
      <c r="A8" s="5" t="s">
        <v>424</v>
      </c>
      <c r="B8" s="5" t="s">
        <v>425</v>
      </c>
      <c r="C8" s="5"/>
      <c r="D8" s="5" t="s">
        <v>569</v>
      </c>
      <c r="E8" s="3" t="str">
        <f>HYPERLINK("https://www.city.shinjuku.lg.jp/fukushi/file04_00006.html","ホームページ")</f>
        <v>ホームページ</v>
      </c>
    </row>
    <row r="9" spans="1:5" ht="52.9">
      <c r="A9" s="5" t="s">
        <v>421</v>
      </c>
      <c r="B9" s="5" t="s">
        <v>426</v>
      </c>
      <c r="C9" s="5" t="s">
        <v>427</v>
      </c>
      <c r="D9" s="5" t="s">
        <v>570</v>
      </c>
      <c r="E9" s="3" t="str">
        <f>HYPERLINK("https://www.bunsyakyo.or.jp/service/complaints","ホームページ")</f>
        <v>ホームページ</v>
      </c>
    </row>
    <row r="10" spans="1:5">
      <c r="A10" s="5" t="s">
        <v>421</v>
      </c>
      <c r="B10" s="5" t="s">
        <v>428</v>
      </c>
      <c r="C10" s="5"/>
      <c r="D10" s="5" t="s">
        <v>571</v>
      </c>
      <c r="E10" s="3" t="str">
        <f>HYPERLINK("https://taitoshakyo.com/service/anshin/kujyo-sodan","ホームページ")</f>
        <v>ホームページ</v>
      </c>
    </row>
    <row r="11" spans="1:5" ht="52.9">
      <c r="A11" s="5" t="s">
        <v>429</v>
      </c>
      <c r="B11" s="5" t="s">
        <v>430</v>
      </c>
      <c r="C11" s="5" t="s">
        <v>431</v>
      </c>
      <c r="D11" s="5" t="s">
        <v>572</v>
      </c>
      <c r="E11" s="3" t="str">
        <f>HYPERLINK("https://www.sumida-shakyo.or.jp/service/cate04/kujyo","ホームページ")</f>
        <v>ホームページ</v>
      </c>
    </row>
    <row r="12" spans="1:5" ht="52.9">
      <c r="A12" s="5" t="s">
        <v>421</v>
      </c>
      <c r="B12" s="5" t="s">
        <v>432</v>
      </c>
      <c r="C12" s="5" t="s">
        <v>433</v>
      </c>
      <c r="D12" s="5" t="s">
        <v>573</v>
      </c>
      <c r="E12" s="3" t="str">
        <f>HYPERLINK("https://koto-shakyo.or.jp/kenric/index.html","ホームページ")</f>
        <v>ホームページ</v>
      </c>
    </row>
    <row r="13" spans="1:5" ht="35.25">
      <c r="A13" s="5" t="s">
        <v>434</v>
      </c>
      <c r="B13" s="5" t="s">
        <v>435</v>
      </c>
      <c r="C13" s="5"/>
      <c r="D13" s="5" t="s">
        <v>574</v>
      </c>
      <c r="E13" s="5"/>
    </row>
    <row r="14" spans="1:5" ht="70.5">
      <c r="A14" s="5" t="s">
        <v>421</v>
      </c>
      <c r="B14" s="5" t="s">
        <v>436</v>
      </c>
      <c r="C14" s="5" t="s">
        <v>437</v>
      </c>
      <c r="D14" s="5" t="s">
        <v>575</v>
      </c>
      <c r="E14" s="5"/>
    </row>
    <row r="15" spans="1:5" ht="35.25">
      <c r="A15" s="5" t="s">
        <v>438</v>
      </c>
      <c r="B15" s="5" t="s">
        <v>439</v>
      </c>
      <c r="C15" s="5" t="s">
        <v>440</v>
      </c>
      <c r="D15" s="5" t="s">
        <v>576</v>
      </c>
      <c r="E15" s="3" t="str">
        <f>HYPERLINK("https://www.city.ota.tokyo.jp/seikatsu/sodan/ombudsman/index.html","ホームページ")</f>
        <v>ホームページ</v>
      </c>
    </row>
    <row r="16" spans="1:5" ht="35.25">
      <c r="A16" s="5" t="s">
        <v>441</v>
      </c>
      <c r="B16" s="5" t="s">
        <v>442</v>
      </c>
      <c r="C16" s="5" t="s">
        <v>443</v>
      </c>
      <c r="D16" s="5" t="s">
        <v>577</v>
      </c>
      <c r="E16" s="3" t="str">
        <f>HYPERLINK("https://www.city.setagaya.lg.jp/02014/3304.html","ホームページ")</f>
        <v>ホームページ</v>
      </c>
    </row>
    <row r="17" spans="1:5" ht="35.25">
      <c r="A17" s="5" t="s">
        <v>444</v>
      </c>
      <c r="B17" s="5" t="s">
        <v>445</v>
      </c>
      <c r="C17" s="5"/>
      <c r="D17" s="5" t="s">
        <v>578</v>
      </c>
      <c r="E17" s="3" t="str">
        <f>HYPERLINK("https://files.city.shibuya.tokyo.jp/assets/12995aba8b194961be709ba879857f70/c2b63a3cba4449fa8ac0d168cee3d0ff/assets_kurashi_000064166.pdf","ホームページ")</f>
        <v>ホームページ</v>
      </c>
    </row>
    <row r="18" spans="1:5" ht="35.25">
      <c r="A18" s="5" t="s">
        <v>446</v>
      </c>
      <c r="B18" s="5" t="s">
        <v>447</v>
      </c>
      <c r="C18" s="5"/>
      <c r="D18" s="5" t="s">
        <v>579</v>
      </c>
      <c r="E18" s="3" t="str">
        <f>HYPERLINK("https://nakanoshakyo.com/","ホームページ")</f>
        <v>ホームページ</v>
      </c>
    </row>
    <row r="19" spans="1:5" ht="52.9">
      <c r="A19" s="5" t="s">
        <v>448</v>
      </c>
      <c r="B19" s="5" t="s">
        <v>449</v>
      </c>
      <c r="C19" s="5" t="s">
        <v>450</v>
      </c>
      <c r="D19" s="5" t="s">
        <v>580</v>
      </c>
      <c r="E19" s="3" t="str">
        <f>HYPERLINK("https://www.city.tokyo-nakano.lg.jp/kenko_hukushi/soudan/kujyomoshitate.html","ホームページ")</f>
        <v>ホームページ</v>
      </c>
    </row>
    <row r="20" spans="1:5" ht="35.25">
      <c r="A20" s="5" t="s">
        <v>451</v>
      </c>
      <c r="B20" s="5" t="s">
        <v>449</v>
      </c>
      <c r="C20" s="5" t="s">
        <v>450</v>
      </c>
      <c r="D20" s="5" t="s">
        <v>581</v>
      </c>
      <c r="E20" s="3" t="str">
        <f>HYPERLINK("https://www.city.tokyo-nakano.lg.jp/kenko_hukushi/soudan/fukushi-funsocyotei.html","ホームページ")</f>
        <v>ホームページ</v>
      </c>
    </row>
    <row r="21" spans="1:5" ht="52.9">
      <c r="A21" s="5" t="s">
        <v>452</v>
      </c>
      <c r="B21" s="5" t="s">
        <v>453</v>
      </c>
      <c r="C21" s="5"/>
      <c r="D21" s="5" t="s">
        <v>582</v>
      </c>
      <c r="E21" s="3" t="str">
        <f>HYPERLINK("https://www.city.suginami.tokyo.jp/s034/1809.html","ホームページ")</f>
        <v>ホームページ</v>
      </c>
    </row>
    <row r="22" spans="1:5" ht="70.5">
      <c r="A22" s="5" t="s">
        <v>454</v>
      </c>
      <c r="B22" s="5" t="s">
        <v>455</v>
      </c>
      <c r="C22" s="5" t="s">
        <v>456</v>
      </c>
      <c r="D22" s="5" t="s">
        <v>583</v>
      </c>
      <c r="E22" s="3" t="str">
        <f>HYPERLINK("https://toshima-shakyo.or.jp/","ホームページ")</f>
        <v>ホームページ</v>
      </c>
    </row>
    <row r="23" spans="1:5" ht="52.9">
      <c r="A23" s="5" t="s">
        <v>421</v>
      </c>
      <c r="B23" s="5" t="s">
        <v>457</v>
      </c>
      <c r="C23" s="5" t="s">
        <v>458</v>
      </c>
      <c r="D23" s="5" t="s">
        <v>584</v>
      </c>
      <c r="E23" s="3" t="str">
        <f>HYPERLINK("https://kitashakyo.or.jp/","ホームページ")</f>
        <v>ホームページ</v>
      </c>
    </row>
    <row r="24" spans="1:5" ht="35.25">
      <c r="A24" s="5" t="s">
        <v>459</v>
      </c>
      <c r="B24" s="5" t="s">
        <v>460</v>
      </c>
      <c r="C24" s="5" t="s">
        <v>461</v>
      </c>
      <c r="D24" s="5" t="s">
        <v>585</v>
      </c>
      <c r="E24" s="3" t="str">
        <f>HYPERLINK("https://www.arakawa-shakyo.or.jp/sodan/","ホームページ")</f>
        <v>ホームページ</v>
      </c>
    </row>
    <row r="25" spans="1:5" ht="35.25">
      <c r="A25" s="5" t="s">
        <v>462</v>
      </c>
      <c r="B25" s="5" t="s">
        <v>463</v>
      </c>
      <c r="C25" s="5"/>
      <c r="D25" s="5" t="s">
        <v>586</v>
      </c>
      <c r="E25" s="3" t="str">
        <f>HYPERLINK("https://www.city.itabashi.tokyo.jp/kenko/soudan/ombudsman/index.html","ホームページ")</f>
        <v>ホームページ</v>
      </c>
    </row>
    <row r="26" spans="1:5" ht="70.5">
      <c r="A26" s="5" t="s">
        <v>464</v>
      </c>
      <c r="B26" s="5" t="s">
        <v>465</v>
      </c>
      <c r="C26" s="5" t="s">
        <v>466</v>
      </c>
      <c r="D26" s="5" t="s">
        <v>587</v>
      </c>
      <c r="E26" s="3" t="str">
        <f>HYPERLINK("https://www.city.nerima.tokyo.jp/hokenfukushi/chiikifukushi/kujochosei/index.html","ホームページ")</f>
        <v>ホームページ</v>
      </c>
    </row>
    <row r="27" spans="1:5" ht="52.9">
      <c r="A27" s="5" t="s">
        <v>467</v>
      </c>
      <c r="B27" s="5" t="s">
        <v>468</v>
      </c>
      <c r="C27" s="5" t="s">
        <v>469</v>
      </c>
      <c r="D27" s="5" t="s">
        <v>588</v>
      </c>
      <c r="E27" s="3" t="str">
        <f>HYPERLINK("https://adachisyakyo.jp/service/kikan-kinou/","ホームページ")</f>
        <v>ホームページ</v>
      </c>
    </row>
    <row r="28" spans="1:5" ht="52.9">
      <c r="A28" s="5" t="s">
        <v>470</v>
      </c>
      <c r="B28" s="5" t="s">
        <v>471</v>
      </c>
      <c r="C28" s="5"/>
      <c r="D28" s="5" t="s">
        <v>589</v>
      </c>
      <c r="E28" s="3" t="str">
        <f>HYPERLINK("https://www.city.katsushika.lg.jp/information/1000084/1006014/1006095.html","ホームページ")</f>
        <v>ホームページ</v>
      </c>
    </row>
    <row r="29" spans="1:5" ht="52.9">
      <c r="A29" s="5" t="s">
        <v>472</v>
      </c>
      <c r="B29" s="5" t="s">
        <v>473</v>
      </c>
      <c r="C29" s="5" t="s">
        <v>474</v>
      </c>
      <c r="D29" s="5" t="s">
        <v>590</v>
      </c>
      <c r="E29" s="3" t="str">
        <f>HYPERLINK("https://www.katsushika-shakyo.com/service/advisement/advocacy_center/","ホームページ")</f>
        <v>ホームページ</v>
      </c>
    </row>
    <row r="30" spans="1:5" ht="35.25">
      <c r="A30" s="5" t="s">
        <v>475</v>
      </c>
      <c r="B30" s="5" t="s">
        <v>476</v>
      </c>
      <c r="C30" s="5" t="s">
        <v>477</v>
      </c>
      <c r="D30" s="5" t="s">
        <v>591</v>
      </c>
      <c r="E30" s="3" t="str">
        <f>HYPERLINK("https://www.edogawa-shakyo.jp/","ホームページ")</f>
        <v>ホームページ</v>
      </c>
    </row>
    <row r="31" spans="1:5" ht="35.25">
      <c r="A31" s="5" t="s">
        <v>478</v>
      </c>
      <c r="B31" s="5" t="s">
        <v>479</v>
      </c>
      <c r="C31" s="5"/>
      <c r="D31" s="5" t="s">
        <v>592</v>
      </c>
      <c r="E31" s="3" t="str">
        <f>HYPERLINK("https://www.8-shakyo.or.jp/service/kuzyoutaioutousenmonsoudan.html","ホームページ")</f>
        <v>ホームページ</v>
      </c>
    </row>
    <row r="32" spans="1:5" ht="35.25">
      <c r="A32" s="5" t="s">
        <v>480</v>
      </c>
      <c r="B32" s="5" t="s">
        <v>481</v>
      </c>
      <c r="C32" s="5"/>
      <c r="D32" s="5" t="s">
        <v>593</v>
      </c>
      <c r="E32" s="5"/>
    </row>
    <row r="33" spans="1:5" ht="35.25">
      <c r="A33" s="5" t="s">
        <v>482</v>
      </c>
      <c r="B33" s="5" t="s">
        <v>483</v>
      </c>
      <c r="C33" s="5"/>
      <c r="D33" s="5" t="s">
        <v>594</v>
      </c>
      <c r="E33" s="5"/>
    </row>
    <row r="34" spans="1:5" ht="52.9">
      <c r="A34" s="5" t="s">
        <v>484</v>
      </c>
      <c r="B34" s="5" t="s">
        <v>485</v>
      </c>
      <c r="C34" s="5"/>
      <c r="D34" s="5" t="s">
        <v>595</v>
      </c>
      <c r="E34" s="5"/>
    </row>
    <row r="35" spans="1:5" ht="52.9">
      <c r="A35" s="5" t="s">
        <v>486</v>
      </c>
      <c r="B35" s="5" t="s">
        <v>487</v>
      </c>
      <c r="C35" s="5"/>
      <c r="D35" s="5" t="s">
        <v>596</v>
      </c>
      <c r="E35" s="5"/>
    </row>
    <row r="36" spans="1:5" ht="52.9">
      <c r="A36" s="5" t="s">
        <v>488</v>
      </c>
      <c r="B36" s="5" t="s">
        <v>489</v>
      </c>
      <c r="C36" s="5" t="s">
        <v>490</v>
      </c>
      <c r="D36" s="5" t="s">
        <v>597</v>
      </c>
      <c r="E36" s="5"/>
    </row>
    <row r="37" spans="1:5" ht="35.25">
      <c r="A37" s="5" t="s">
        <v>491</v>
      </c>
      <c r="B37" s="5" t="s">
        <v>492</v>
      </c>
      <c r="C37" s="5"/>
      <c r="D37" s="5" t="s">
        <v>598</v>
      </c>
      <c r="E37" s="5"/>
    </row>
    <row r="38" spans="1:5" ht="70.5">
      <c r="A38" s="5" t="s">
        <v>493</v>
      </c>
      <c r="B38" s="5" t="s">
        <v>494</v>
      </c>
      <c r="C38" s="5" t="s">
        <v>495</v>
      </c>
      <c r="D38" s="5" t="s">
        <v>599</v>
      </c>
      <c r="E38" s="3" t="str">
        <f>HYPERLINK("https://www.city.akishima.lg.jp/shisei/kocho/1002738/1002739.html","ホームページ")</f>
        <v>ホームページ</v>
      </c>
    </row>
    <row r="39" spans="1:5" ht="70.5">
      <c r="A39" s="5" t="s">
        <v>496</v>
      </c>
      <c r="B39" s="5" t="s">
        <v>497</v>
      </c>
      <c r="C39" s="5" t="s">
        <v>498</v>
      </c>
      <c r="D39" s="5" t="s">
        <v>600</v>
      </c>
      <c r="E39" s="3" t="str">
        <f>HYPERLINK("https://www.city.chofu.lg.jp/030060/p019043.html","ホームページ")</f>
        <v>ホームページ</v>
      </c>
    </row>
    <row r="40" spans="1:5" ht="35.25">
      <c r="A40" s="5" t="s">
        <v>499</v>
      </c>
      <c r="B40" s="5" t="s">
        <v>500</v>
      </c>
      <c r="C40" s="5"/>
      <c r="D40" s="5" t="s">
        <v>601</v>
      </c>
      <c r="E40" s="3" t="str">
        <f>HYPERLINK("https://machida-shakyo.or.jp/fukushisupport/","ホームページ")</f>
        <v>ホームページ</v>
      </c>
    </row>
    <row r="41" spans="1:5" ht="35.25">
      <c r="A41" s="5" t="s">
        <v>501</v>
      </c>
      <c r="B41" s="5" t="s">
        <v>502</v>
      </c>
      <c r="C41" s="5" t="s">
        <v>503</v>
      </c>
      <c r="D41" s="5" t="s">
        <v>602</v>
      </c>
      <c r="E41" s="5"/>
    </row>
    <row r="42" spans="1:5" ht="35.25">
      <c r="A42" s="5" t="s">
        <v>504</v>
      </c>
      <c r="B42" s="5" t="s">
        <v>505</v>
      </c>
      <c r="C42" s="5"/>
      <c r="D42" s="5" t="s">
        <v>603</v>
      </c>
      <c r="E42" s="3" t="str">
        <f>HYPERLINK("https://www.syakaifukushi.kodaira.tokyo.jp/service/kenriyougo.html","ホームページ")</f>
        <v>ホームページ</v>
      </c>
    </row>
    <row r="43" spans="1:5" ht="35.25">
      <c r="A43" s="5" t="s">
        <v>506</v>
      </c>
      <c r="B43" s="5" t="s">
        <v>507</v>
      </c>
      <c r="C43" s="5" t="s">
        <v>508</v>
      </c>
      <c r="D43" s="5" t="s">
        <v>604</v>
      </c>
      <c r="E43" s="3" t="str">
        <f>HYPERLINK("https://www.city.hino.lg.jp/fukushi/fukushi/ombuds/1003301.html","ホームページ")</f>
        <v>ホームページ</v>
      </c>
    </row>
    <row r="44" spans="1:5" ht="52.9">
      <c r="A44" s="5" t="s">
        <v>509</v>
      </c>
      <c r="B44" s="5" t="s">
        <v>510</v>
      </c>
      <c r="C44" s="5" t="s">
        <v>511</v>
      </c>
      <c r="D44" s="5" t="s">
        <v>605</v>
      </c>
      <c r="E44" s="3" t="str">
        <f>HYPERLINK("https://hm-shakyo.or.jp/service/house/necessary/20210512_18.html","ホームページ")</f>
        <v>ホームページ</v>
      </c>
    </row>
    <row r="45" spans="1:5" ht="35.25">
      <c r="A45" s="5" t="s">
        <v>512</v>
      </c>
      <c r="B45" s="5" t="s">
        <v>513</v>
      </c>
      <c r="C45" s="5" t="s">
        <v>514</v>
      </c>
      <c r="D45" s="5" t="s">
        <v>606</v>
      </c>
      <c r="E45" s="3" t="str">
        <f>HYPERLINK("https://www.ko-shakyo.or.jp/","ホームページ")</f>
        <v>ホームページ</v>
      </c>
    </row>
    <row r="46" spans="1:5" ht="35.25">
      <c r="A46" s="5" t="s">
        <v>515</v>
      </c>
      <c r="B46" s="5" t="s">
        <v>516</v>
      </c>
      <c r="C46" s="5"/>
      <c r="D46" s="5" t="s">
        <v>607</v>
      </c>
      <c r="E46" s="3" t="str">
        <f>HYPERLINK("https://www.city.kunitachi.tokyo.jp/kurashi/ombudsman/5128.html","ホームページ")</f>
        <v>ホームページ</v>
      </c>
    </row>
    <row r="47" spans="1:5" ht="52.9">
      <c r="A47" s="5" t="s">
        <v>517</v>
      </c>
      <c r="B47" s="5" t="s">
        <v>518</v>
      </c>
      <c r="C47" s="5" t="s">
        <v>519</v>
      </c>
      <c r="D47" s="5" t="s">
        <v>608</v>
      </c>
      <c r="E47" s="3" t="str">
        <f>HYPERLINK("https://fussashakyo.or.jp/","ホームページ")</f>
        <v>ホームページ</v>
      </c>
    </row>
    <row r="48" spans="1:5" ht="35.25">
      <c r="A48" s="5" t="s">
        <v>520</v>
      </c>
      <c r="B48" s="5" t="s">
        <v>521</v>
      </c>
      <c r="C48" s="5"/>
      <c r="D48" s="5" t="s">
        <v>609</v>
      </c>
      <c r="E48" s="3" t="str">
        <f>HYPERLINK("https://welfare.komae.org/s_list/reg_money/anshin_komae/","ホームページ")</f>
        <v>ホームページ</v>
      </c>
    </row>
    <row r="49" spans="1:5">
      <c r="A49" s="5" t="s">
        <v>522</v>
      </c>
      <c r="B49" s="5" t="s">
        <v>523</v>
      </c>
      <c r="C49" s="5" t="s">
        <v>524</v>
      </c>
      <c r="D49" s="5" t="s">
        <v>610</v>
      </c>
      <c r="E49" s="3" t="str">
        <f>HYPERLINK("https://www.higashiyamatoshakyou.or.jp/","ホームページ")</f>
        <v>ホームページ</v>
      </c>
    </row>
    <row r="50" spans="1:5" ht="35.25">
      <c r="A50" s="5" t="s">
        <v>525</v>
      </c>
      <c r="B50" s="5" t="s">
        <v>526</v>
      </c>
      <c r="C50" s="5" t="s">
        <v>527</v>
      </c>
      <c r="D50" s="5" t="s">
        <v>611</v>
      </c>
      <c r="E50" s="3" t="str">
        <f>HYPERLINK("https://www.kiyose-f.net/pages/66/","ホームページ")</f>
        <v>ホームページ</v>
      </c>
    </row>
    <row r="51" spans="1:5" ht="35.25">
      <c r="A51" s="5" t="s">
        <v>528</v>
      </c>
      <c r="B51" s="5" t="s">
        <v>529</v>
      </c>
      <c r="C51" s="5" t="s">
        <v>530</v>
      </c>
      <c r="D51" s="5" t="s">
        <v>612</v>
      </c>
      <c r="E51" s="3" t="str">
        <f>HYPERLINK("https://higashikurume-shakyo.or.jp/","ホームページ")</f>
        <v>ホームページ</v>
      </c>
    </row>
    <row r="52" spans="1:5" ht="35.25">
      <c r="A52" s="5" t="s">
        <v>531</v>
      </c>
      <c r="B52" s="5" t="s">
        <v>532</v>
      </c>
      <c r="C52" s="5" t="s">
        <v>533</v>
      </c>
      <c r="D52" s="5" t="s">
        <v>613</v>
      </c>
      <c r="E52" s="5"/>
    </row>
    <row r="53" spans="1:5" ht="70.5">
      <c r="A53" s="5" t="s">
        <v>534</v>
      </c>
      <c r="B53" s="5" t="s">
        <v>535</v>
      </c>
      <c r="C53" s="5" t="s">
        <v>536</v>
      </c>
      <c r="D53" s="5" t="s">
        <v>614</v>
      </c>
      <c r="E53" s="5"/>
    </row>
    <row r="54" spans="1:5" ht="35.25">
      <c r="A54" s="5" t="s">
        <v>537</v>
      </c>
      <c r="B54" s="5" t="s">
        <v>538</v>
      </c>
      <c r="C54" s="5" t="s">
        <v>539</v>
      </c>
      <c r="D54" s="5" t="s">
        <v>615</v>
      </c>
      <c r="E54" s="3" t="str">
        <f>HYPERLINK("https://inagishakyo.org/","ホームページ")</f>
        <v>ホームページ</v>
      </c>
    </row>
    <row r="55" spans="1:5" ht="52.9">
      <c r="A55" s="5" t="s">
        <v>540</v>
      </c>
      <c r="B55" s="5" t="s">
        <v>541</v>
      </c>
      <c r="C55" s="5" t="s">
        <v>542</v>
      </c>
      <c r="D55" s="5" t="s">
        <v>616</v>
      </c>
      <c r="E55" s="3" t="str">
        <f>HYPERLINK("https://www.hamurashakyo.jp/pages/52","ホームページ")</f>
        <v>ホームページ</v>
      </c>
    </row>
    <row r="56" spans="1:5" ht="35.25">
      <c r="A56" s="5" t="s">
        <v>543</v>
      </c>
      <c r="B56" s="5" t="s">
        <v>544</v>
      </c>
      <c r="C56" s="5" t="s">
        <v>545</v>
      </c>
      <c r="D56" s="5" t="s">
        <v>617</v>
      </c>
      <c r="E56" s="3" t="str">
        <f>HYPERLINK("https://akiruno-shakyo.or.jp/","ホームページ")</f>
        <v>ホームページ</v>
      </c>
    </row>
    <row r="57" spans="1:5" ht="35.25">
      <c r="A57" s="5" t="s">
        <v>421</v>
      </c>
      <c r="B57" s="5" t="s">
        <v>546</v>
      </c>
      <c r="C57" s="5"/>
      <c r="D57" s="5" t="s">
        <v>618</v>
      </c>
      <c r="E57" s="5"/>
    </row>
    <row r="58" spans="1:5" ht="52.9">
      <c r="A58" s="5" t="s">
        <v>547</v>
      </c>
      <c r="B58" s="5" t="s">
        <v>548</v>
      </c>
      <c r="C58" s="5" t="s">
        <v>549</v>
      </c>
      <c r="D58" s="5" t="s">
        <v>619</v>
      </c>
      <c r="E58" s="3" t="str">
        <f>HYPERLINK("https://mizuho-shakyo.com/rpc/","ホームページ")</f>
        <v>ホームページ</v>
      </c>
    </row>
    <row r="59" spans="1:5" ht="70.5">
      <c r="A59" s="5" t="s">
        <v>550</v>
      </c>
      <c r="B59" s="5" t="s">
        <v>551</v>
      </c>
      <c r="C59" s="5" t="s">
        <v>552</v>
      </c>
      <c r="D59" s="5" t="s">
        <v>620</v>
      </c>
      <c r="E59" s="3" t="str">
        <f>HYPERLINK("https://hinodeshakyo.jpn.org/","ホームページ")</f>
        <v>ホームページ</v>
      </c>
    </row>
    <row r="60" spans="1:5">
      <c r="A60" s="5" t="s">
        <v>553</v>
      </c>
      <c r="B60" s="5" t="s">
        <v>554</v>
      </c>
      <c r="C60" s="5" t="s">
        <v>555</v>
      </c>
      <c r="D60" s="5" t="s">
        <v>621</v>
      </c>
      <c r="E60" s="3" t="str">
        <f>HYPERLINK("https://hinoharasyakyo.jimdoweb.com/","ホームページ")</f>
        <v>ホームページ</v>
      </c>
    </row>
    <row r="61" spans="1:5" ht="35.25">
      <c r="A61" s="5" t="s">
        <v>556</v>
      </c>
      <c r="B61" s="5" t="s">
        <v>557</v>
      </c>
      <c r="C61" s="5"/>
      <c r="D61" s="5" t="s">
        <v>622</v>
      </c>
      <c r="E61" s="3" t="str">
        <f>HYPERLINK("http://okusyakyo.jp/","ホームページ")</f>
        <v>ホームページ</v>
      </c>
    </row>
    <row r="62" spans="1:5" ht="70.5">
      <c r="A62" s="5" t="s">
        <v>558</v>
      </c>
      <c r="B62" s="5" t="s">
        <v>559</v>
      </c>
      <c r="C62" s="5" t="s">
        <v>560</v>
      </c>
      <c r="D62" s="5" t="s">
        <v>623</v>
      </c>
      <c r="E62" s="3" t="str">
        <f>HYPERLINK("https://www.tcsw.tvac.or.jp/tekiseika/index.html","ホームページ")</f>
        <v>ホームページ</v>
      </c>
    </row>
    <row r="63" spans="1:5" ht="52.9">
      <c r="A63" s="5" t="s">
        <v>561</v>
      </c>
      <c r="B63" s="5" t="s">
        <v>562</v>
      </c>
      <c r="C63" s="5"/>
      <c r="D63" s="5" t="s">
        <v>624</v>
      </c>
      <c r="E63" s="5"/>
    </row>
  </sheetData>
  <phoneticPr fontId="2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虐待防止</vt:lpstr>
      <vt:lpstr>苦情相談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K</dc:creator>
  <cp:lastModifiedBy>M K</cp:lastModifiedBy>
  <dcterms:created xsi:type="dcterms:W3CDTF">2026-07-30T02:25:22Z</dcterms:created>
  <dcterms:modified xsi:type="dcterms:W3CDTF">2026-08-31T11:25:53Z</dcterms:modified>
</cp:coreProperties>
</file>